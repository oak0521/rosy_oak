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0월_실적" sheetId="2" state="visible" r:id="rId2"/>
    <sheet xmlns:r="http://schemas.openxmlformats.org/officeDocument/2006/relationships" name="예산" sheetId="3" state="visible" r:id="rId3"/>
    <sheet xmlns:r="http://schemas.openxmlformats.org/officeDocument/2006/relationships" name="예산대비_집행" sheetId="4" state="visible" r:id="rId4"/>
    <sheet xmlns:r="http://schemas.openxmlformats.org/officeDocument/2006/relationships" name="자사몰_매출" sheetId="5" state="visible" r:id="rId5"/>
    <sheet xmlns:r="http://schemas.openxmlformats.org/officeDocument/2006/relationships" name="주차별_추이" sheetId="6" state="visible" r:id="rId6"/>
    <sheet xmlns:r="http://schemas.openxmlformats.org/officeDocument/2006/relationships" name="성과분석" sheetId="7" state="visible" r:id="rId7"/>
    <sheet xmlns:r="http://schemas.openxmlformats.org/officeDocument/2006/relationships" name="시간제한_검증" sheetId="8" state="visible" r:id="rId8"/>
    <sheet xmlns:r="http://schemas.openxmlformats.org/officeDocument/2006/relationships" name="목표_11-12월" sheetId="9" state="visible" r:id="rId9"/>
    <sheet xmlns:r="http://schemas.openxmlformats.org/officeDocument/2006/relationships" name="실행계획" sheetId="10" state="visible" r:id="rId10"/>
    <sheet xmlns:r="http://schemas.openxmlformats.org/officeDocument/2006/relationships" name="가정" sheetId="11" state="visible" r:id="rId11"/>
    <sheet xmlns:r="http://schemas.openxmlformats.org/officeDocument/2006/relationships" name="점검" sheetId="12" state="visible" r:id="rId12"/>
    <sheet xmlns:r="http://schemas.openxmlformats.org/officeDocument/2006/relationships" name="데이터_광고" sheetId="13" state="visible" r:id="rId13"/>
    <sheet xmlns:r="http://schemas.openxmlformats.org/officeDocument/2006/relationships" name="데이터_SS일별" sheetId="14" state="visible" r:id="rId14"/>
    <sheet xmlns:r="http://schemas.openxmlformats.org/officeDocument/2006/relationships" name="데이터_SS상품" sheetId="15" state="visible" r:id="rId15"/>
    <sheet xmlns:r="http://schemas.openxmlformats.org/officeDocument/2006/relationships" name="데이터_자사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0.0&quot;배&quot;"/>
    <numFmt numFmtId="166" formatCode="0%;-0%;&quot;-&quot;"/>
    <numFmt numFmtId="167" formatCode="#,##0.0"/>
    <numFmt numFmtId="168" formatCode="0.0%"/>
    <numFmt numFmtId="169" formatCode="0.0&quot;일&quot;"/>
    <numFmt numFmtId="170" formatCode="+0%;-0%;0%"/>
    <numFmt numFmtId="171" formatCode="+0.00&quot;%p&quot;;-0.00&quot;%p&quot;"/>
    <numFmt numFmtId="172" formatCode="+0&quot;%p&quot;;-0&quot;%p&quot;"/>
    <numFmt numFmtId="173" formatCode="+#,##0;-#,##0;0"/>
    <numFmt numFmtId="174" formatCode="+#,##0.0;-#,##0.0;0.0"/>
    <numFmt numFmtId="175" formatCode="#,##0.0;-#,##0.0;0.0"/>
    <numFmt numFmtId="176" formatCode="0.00&quot;배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1F3864"/>
      <sz val="12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4" fillId="0" borderId="1" pivotButton="0" quotePrefix="0" xfId="0"/>
    <xf numFmtId="9" fontId="7" fillId="0" borderId="1" pivotButton="0" quotePrefix="0" xfId="0"/>
    <xf numFmtId="9" fontId="4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3" fontId="7" fillId="4" borderId="1" pivotButton="0" quotePrefix="0" xfId="0"/>
    <xf numFmtId="9" fontId="7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7" fillId="0" borderId="1" pivotButton="0" quotePrefix="0" xfId="0"/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9" fontId="4" fillId="0" borderId="1" pivotButton="0" quotePrefix="0" xfId="0"/>
    <xf numFmtId="0" fontId="2" fillId="0" borderId="0" pivotButton="0" quotePrefix="0" xfId="0"/>
    <xf numFmtId="167" fontId="4" fillId="0" borderId="1" pivotButton="0" quotePrefix="0" xfId="0"/>
    <xf numFmtId="166" fontId="4" fillId="0" borderId="1" pivotButton="0" quotePrefix="0" xfId="0"/>
    <xf numFmtId="10" fontId="4" fillId="0" borderId="1" pivotButton="0" quotePrefix="0" xfId="0"/>
    <xf numFmtId="168" fontId="4" fillId="0" borderId="1" pivotButton="0" quotePrefix="0" xfId="0"/>
    <xf numFmtId="167" fontId="7" fillId="4" borderId="1" pivotButton="0" quotePrefix="0" xfId="0"/>
    <xf numFmtId="166" fontId="7" fillId="4" borderId="1" pivotButton="0" quotePrefix="0" xfId="0"/>
    <xf numFmtId="10" fontId="7" fillId="4" borderId="1" pivotButton="0" quotePrefix="0" xfId="0"/>
    <xf numFmtId="168" fontId="7" fillId="4" borderId="1" pivotButton="0" quotePrefix="0" xfId="0"/>
    <xf numFmtId="173" fontId="4" fillId="0" borderId="1" pivotButton="0" quotePrefix="0" xfId="0"/>
    <xf numFmtId="170" fontId="4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173" fontId="7" fillId="4" borderId="1" pivotButton="0" quotePrefix="0" xfId="0"/>
    <xf numFmtId="170" fontId="7" fillId="4" borderId="1" pivotButton="0" quotePrefix="0" xfId="0"/>
    <xf numFmtId="0" fontId="4" fillId="4" borderId="1" pivotButton="0" quotePrefix="0" xfId="0"/>
    <xf numFmtId="0" fontId="2" fillId="0" borderId="1" pivotButton="0" quotePrefix="0" xfId="0"/>
    <xf numFmtId="167" fontId="2" fillId="0" borderId="1" pivotButton="0" quotePrefix="0" xfId="0"/>
    <xf numFmtId="174" fontId="2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3" fontId="2" fillId="0" borderId="1" pivotButton="0" quotePrefix="0" xfId="0"/>
    <xf numFmtId="174" fontId="4" fillId="0" borderId="1" pivotButton="0" quotePrefix="0" xfId="0"/>
    <xf numFmtId="0" fontId="7" fillId="0" borderId="0" pivotButton="0" quotePrefix="0" xfId="0"/>
    <xf numFmtId="9" fontId="5" fillId="2" borderId="1" applyAlignment="1" pivotButton="0" quotePrefix="0" xfId="0">
      <alignment horizontal="right" vertical="center"/>
    </xf>
    <xf numFmtId="175" fontId="4" fillId="0" borderId="1" pivotButton="0" quotePrefix="0" xfId="0"/>
    <xf numFmtId="165" fontId="4" fillId="0" borderId="1" pivotButton="0" quotePrefix="0" xfId="0"/>
    <xf numFmtId="175" fontId="7" fillId="4" borderId="1" pivotButton="0" quotePrefix="0" xfId="0"/>
    <xf numFmtId="165" fontId="7" fillId="4" borderId="1" pivotButton="0" quotePrefix="0" xfId="0"/>
    <xf numFmtId="176" fontId="4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71" fontId="4" fillId="0" borderId="1" pivotButton="0" quotePrefix="0" xfId="0"/>
    <xf numFmtId="172" fontId="4" fillId="0" borderId="1" pivotButton="0" quotePrefix="0" xfId="0"/>
    <xf numFmtId="3" fontId="5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169" fontId="7" fillId="0" borderId="1" pivotButton="0" quotePrefix="0" xfId="0"/>
    <xf numFmtId="167" fontId="7" fillId="0" borderId="1" pivotButton="0" quotePrefix="0" xfId="0"/>
    <xf numFmtId="164" fontId="5" fillId="2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pivotButton="0" quotePrefix="0" xfId="0"/>
    <xf numFmtId="165" fontId="7" fillId="0" borderId="0" pivotButton="0" quotePrefix="0" xfId="0"/>
    <xf numFmtId="3" fontId="7" fillId="0" borderId="1" pivotButton="0" quotePrefix="0" xfId="0"/>
    <xf numFmtId="0" fontId="4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164" fontId="5" fillId="0" borderId="0" pivotButton="0" quotePrefix="0" xfId="0"/>
    <xf numFmtId="49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Claude</author>
  </authors>
  <commentList>
    <comment ref="A6" authorId="0" shapeId="0">
      <text>
        <t>Source: 메타 광고관리자 Raw Data Report(스마트스토어 캠페인 SUS_로지오가닉_과자(상시)_구매_260506), 사용자 업로드, 2026-10-29. 일별 값 그대로 입력.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Source: 네이버 검색광고 일별 리포트(1948280, 2026.10.01~10.28), 네이버 GFA result.csv, 메타 광고관리자 Raw Data Report 2건(자사몰·스마트스토어). 일 단위 원본을 캠페인·광고그룹×기간(P1~P5)으로 합산해 입력, 사용자 업로드, 2026-10-29. 네이버 검색광고·GFA는 구매완료 전환수·전환매출, 메타는 구매·구매 전환값 기준. 브랜드검색은 리포트상 비용이 0이어서 정액을 일할 안분한 수식 값이며 클릭·노출·구매·매출은 리포트 값.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Source: 스마트스토어 통계 SALES 리포트 2건(sales_20261001-20261028, 스토어별), 사용자 업로드, 2026-10-29. 상품 단위 일별 행을 스토어×날짜×구분으로 합산. 구분은 상품명에 "공동구매"가 들어가면 "공구", 아니면 "일반". 공구 상품은 요청에 따라 일반 상품 집계에서 제외하고 참고용으로만 남김.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1" authorId="0" shapeId="0">
      <text>
        <t>Source: 스마트스토어 통계 SALES 리포트 2건(sales_20261001-20261028), 사용자 업로드, 2026-10-29. 상품별 28일 합계. 구분(H열)은 상품명에 "공동구매"가 포함되면 "공구"로 표시하는 수식.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A1" authorId="0" shapeId="0">
      <text>
        <t>Source: 자사몰 10월 매출 CSV(상품 순위별 판매), 사용자 업로드, 2026-10-29. 파일에 기간 표기가 없어 10월 매출로 간주. 브랜드·구분은 상품명 기준 수식(아넬라/로지오가닉 포함 여부, "시크릿 특가"는 메타 시크릿링크 광고 유입 상품이라는 사용자 설명).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60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2026년 10월 광고 성과 및 11~12월 목표 · 아넬라 / 로지오가닉</t>
        </is>
      </c>
    </row>
    <row r="2" ht="30" customHeight="1">
      <c r="A2" s="2">
        <f>"집계 "&amp;TEXT('가정'!B5,"yyyy.mm.dd")&amp;" ~ "&amp;TEXT('가정'!B6,"mm.dd")&amp;" ("&amp;'가정'!B7&amp;"일) · 월말 예상은 10/26~28 일평균 기준 · 금액 단위 만원 · 네이버 VAT 미포함 · 매출은 매체 구매 귀속 기준"</f>
        <v/>
      </c>
    </row>
    <row r="4">
      <c r="A4" s="3" t="inlineStr">
        <is>
          <t>1. 한눈에 보기</t>
        </is>
      </c>
    </row>
    <row r="5" ht="30" customHeight="1">
      <c r="A5" s="4">
        <f>"· 아넬라: 28일 ROAS "&amp;TEXT('10월_실적'!G31,"#,##0%")&amp;"로 KPI 하한("&amp;TEXT('10월_실적'!C31,"0%")&amp;")의 "&amp;TEXT('10월_실적'!H31,"0%")&amp;". 월말 예상 ROAS "&amp;TEXT('10월_실적'!D38,"#,##0%")&amp;"이나 예산은 일할 대비 "&amp;TEXT('10월_실적'!E13,"0%")&amp;"만 사용했습니다."</f>
        <v/>
      </c>
    </row>
    <row r="6" ht="30" customHeight="1">
      <c r="A6" s="4">
        <f>"· 로지오가닉: 28일 ROAS "&amp;TEXT('10월_실적'!G32,"#,##0%")&amp;"로 하한("&amp;TEXT('10월_실적'!C32,"0%")&amp;")의 "&amp;TEXT('10월_실적'!H32,"0%")&amp;". 메타 스스 이상치 이틀을 빼도 "&amp;TEXT('10월_실적'!D46,"#,##0%")&amp;"로 하한을 넘습니다."</f>
        <v/>
      </c>
    </row>
    <row r="7" ht="30" customHeight="1">
      <c r="A7" s="4">
        <f>"· 아넬라는 행사 구간 ROAS("&amp;TEXT('주차별_추이'!I11,"#,##0%")&amp;")가 상시 구간("&amp;TEXT('주차별_추이'!H11,"#,##0%")&amp;")의 "&amp;TEXT('주차별_추이'!I11/'주차별_추이'!H11,"0.0")&amp;"배라, 11월 목표는 행사 일정에 좌우됩니다. 하한 달성에 필요한 행사일수는 약 "&amp;TEXT('목표_11-12월'!O30,"0.0")&amp;"일(11월)입니다."</f>
        <v/>
      </c>
    </row>
    <row r="9">
      <c r="A9" s="3" t="inlineStr">
        <is>
          <t>2. 10월 실적과 목표(소급) 대비</t>
        </is>
      </c>
    </row>
    <row r="10" ht="44" customHeight="1">
      <c r="A10" s="5" t="inlineStr">
        <is>
          <t>브랜드</t>
        </is>
      </c>
      <c r="B10" s="5" t="inlineStr">
        <is>
          <t>광고비</t>
        </is>
      </c>
      <c r="C10" s="5" t="inlineStr">
        <is>
          <t>매출</t>
        </is>
      </c>
      <c r="D10" s="5" t="inlineStr">
        <is>
          <t>ROAS</t>
        </is>
      </c>
      <c r="E10" s="5" t="inlineStr">
        <is>
          <t>KPI 하한</t>
        </is>
      </c>
      <c r="F10" s="5" t="inlineStr">
        <is>
          <t>ROAS 달성률</t>
        </is>
      </c>
      <c r="G10" s="5" t="inlineStr">
        <is>
          <t>월말 예상 ROAS</t>
        </is>
      </c>
      <c r="H10" s="5" t="inlineStr">
        <is>
          <t>월말 예상 매출 ÷ 목표</t>
        </is>
      </c>
      <c r="I10" s="5" t="inlineStr">
        <is>
          <t>구매(건)</t>
        </is>
      </c>
      <c r="J10" s="5" t="inlineStr">
        <is>
          <t>스토어 일반 순매출</t>
        </is>
      </c>
      <c r="K10" s="5" t="inlineStr">
        <is>
          <t>28일 판정</t>
        </is>
      </c>
    </row>
    <row r="11">
      <c r="A11" s="6" t="inlineStr">
        <is>
          <t>아넬라</t>
        </is>
      </c>
      <c r="B11" s="7">
        <f>'10월_실적'!E31</f>
        <v/>
      </c>
      <c r="C11" s="7">
        <f>'10월_실적'!F31</f>
        <v/>
      </c>
      <c r="D11" s="8">
        <f>'10월_실적'!G31</f>
        <v/>
      </c>
      <c r="E11" s="9">
        <f>'10월_실적'!C31</f>
        <v/>
      </c>
      <c r="F11" s="8">
        <f>'10월_실적'!H31</f>
        <v/>
      </c>
      <c r="G11" s="9">
        <f>'10월_실적'!D38</f>
        <v/>
      </c>
      <c r="H11" s="9">
        <f>'10월_실적'!F38</f>
        <v/>
      </c>
      <c r="I11" s="7">
        <f>'10월_실적'!J13</f>
        <v/>
      </c>
      <c r="J11" s="7">
        <f>'주차별_추이'!G17/10000</f>
        <v/>
      </c>
      <c r="K11" s="10">
        <f>'10월_실적'!I31</f>
        <v/>
      </c>
    </row>
    <row r="12">
      <c r="A12" s="6" t="inlineStr">
        <is>
          <t>로지오가닉</t>
        </is>
      </c>
      <c r="B12" s="7">
        <f>'10월_실적'!E32</f>
        <v/>
      </c>
      <c r="C12" s="7">
        <f>'10월_실적'!F32</f>
        <v/>
      </c>
      <c r="D12" s="8">
        <f>'10월_실적'!G32</f>
        <v/>
      </c>
      <c r="E12" s="9">
        <f>'10월_실적'!C32</f>
        <v/>
      </c>
      <c r="F12" s="8">
        <f>'10월_실적'!H32</f>
        <v/>
      </c>
      <c r="G12" s="9">
        <f>'10월_실적'!D39</f>
        <v/>
      </c>
      <c r="H12" s="9">
        <f>'10월_실적'!F39</f>
        <v/>
      </c>
      <c r="I12" s="7">
        <f>'10월_실적'!J25</f>
        <v/>
      </c>
      <c r="J12" s="7">
        <f>'주차별_추이'!G38/10000</f>
        <v/>
      </c>
      <c r="K12" s="10">
        <f>'10월_실적'!I32</f>
        <v/>
      </c>
    </row>
    <row r="13">
      <c r="A13" s="11" t="inlineStr">
        <is>
          <t>합계</t>
        </is>
      </c>
      <c r="B13" s="12">
        <f>B11+B12</f>
        <v/>
      </c>
      <c r="C13" s="12">
        <f>C11+C12</f>
        <v/>
      </c>
      <c r="D13" s="13">
        <f>IF(B13=0,0,C13/B13)</f>
        <v/>
      </c>
      <c r="E13" s="13">
        <f>'10월_실적'!C33</f>
        <v/>
      </c>
      <c r="F13" s="13">
        <f>'10월_실적'!H33</f>
        <v/>
      </c>
      <c r="G13" s="13">
        <f>'10월_실적'!D40</f>
        <v/>
      </c>
      <c r="H13" s="13">
        <f>'10월_실적'!F40</f>
        <v/>
      </c>
      <c r="I13" s="12">
        <f>I11+I12</f>
        <v/>
      </c>
      <c r="J13" s="12">
        <f>J11+J12</f>
        <v/>
      </c>
      <c r="K13" s="14">
        <f>'10월_실적'!I33</f>
        <v/>
      </c>
    </row>
    <row r="14" ht="30" customHeight="1">
      <c r="A14" s="2" t="inlineStr">
        <is>
          <t>10월 목표가 따로 없어 4분기 KPI 보고안의 ROAS 하한(아넬라 850%, 로지 420%)과 10월 광고예산을 소급 적용했습니다. 스토어 일반 순매출은 공동구매 상품을 제외한 값입니다.</t>
        </is>
      </c>
    </row>
    <row r="16">
      <c r="A16" s="3" t="inlineStr">
        <is>
          <t>3. 매체별 ROAS와 광고비 (10/1~10/28)</t>
        </is>
      </c>
    </row>
    <row r="17" ht="32" customHeight="1">
      <c r="A17" s="5" t="inlineStr">
        <is>
          <t>매체</t>
        </is>
      </c>
      <c r="B17" s="5" t="inlineStr">
        <is>
          <t>아넬라 광고비</t>
        </is>
      </c>
      <c r="C17" s="5" t="inlineStr">
        <is>
          <t>아넬라 매출</t>
        </is>
      </c>
      <c r="D17" s="5" t="inlineStr">
        <is>
          <t>아넬라 ROAS</t>
        </is>
      </c>
      <c r="E17" s="5" t="inlineStr">
        <is>
          <t>로지 광고비</t>
        </is>
      </c>
      <c r="F17" s="5" t="inlineStr">
        <is>
          <t>로지 매출</t>
        </is>
      </c>
      <c r="G17" s="5" t="inlineStr">
        <is>
          <t>로지 ROAS</t>
        </is>
      </c>
    </row>
    <row r="18">
      <c r="A18" s="15" t="inlineStr">
        <is>
          <t>파워링크</t>
        </is>
      </c>
      <c r="B18" s="7">
        <f>'10월_실적'!D6</f>
        <v/>
      </c>
      <c r="C18" s="7">
        <f>'10월_실적'!L6</f>
        <v/>
      </c>
      <c r="D18" s="16">
        <f>'10월_실적'!M6</f>
        <v/>
      </c>
      <c r="E18" s="7">
        <f>'10월_실적'!D18</f>
        <v/>
      </c>
      <c r="F18" s="7">
        <f>'10월_실적'!L18</f>
        <v/>
      </c>
      <c r="G18" s="16">
        <f>'10월_실적'!M18</f>
        <v/>
      </c>
    </row>
    <row r="19">
      <c r="A19" s="15" t="inlineStr">
        <is>
          <t>쇼핑검색</t>
        </is>
      </c>
      <c r="B19" s="7">
        <f>'10월_실적'!D7</f>
        <v/>
      </c>
      <c r="C19" s="7">
        <f>'10월_실적'!L7</f>
        <v/>
      </c>
      <c r="D19" s="16">
        <f>'10월_실적'!M7</f>
        <v/>
      </c>
      <c r="E19" s="7">
        <f>'10월_실적'!D19</f>
        <v/>
      </c>
      <c r="F19" s="7">
        <f>'10월_실적'!L19</f>
        <v/>
      </c>
      <c r="G19" s="16">
        <f>'10월_실적'!M19</f>
        <v/>
      </c>
    </row>
    <row r="20">
      <c r="A20" s="15" t="inlineStr">
        <is>
          <t>브랜드검색</t>
        </is>
      </c>
      <c r="B20" s="7">
        <f>'10월_실적'!D8</f>
        <v/>
      </c>
      <c r="C20" s="7">
        <f>'10월_실적'!L8</f>
        <v/>
      </c>
      <c r="D20" s="16">
        <f>'10월_실적'!M8</f>
        <v/>
      </c>
      <c r="E20" s="7">
        <f>'10월_실적'!D20</f>
        <v/>
      </c>
      <c r="F20" s="7">
        <f>'10월_실적'!L20</f>
        <v/>
      </c>
      <c r="G20" s="16">
        <f>'10월_실적'!M20</f>
        <v/>
      </c>
    </row>
    <row r="21">
      <c r="A21" s="15" t="inlineStr">
        <is>
          <t>GFA 카탈로그</t>
        </is>
      </c>
      <c r="B21" s="7">
        <f>'10월_실적'!D9</f>
        <v/>
      </c>
      <c r="C21" s="7">
        <f>'10월_실적'!L9</f>
        <v/>
      </c>
      <c r="D21" s="16">
        <f>'10월_실적'!M9</f>
        <v/>
      </c>
      <c r="E21" s="7">
        <f>'10월_실적'!D21</f>
        <v/>
      </c>
      <c r="F21" s="7">
        <f>'10월_실적'!L21</f>
        <v/>
      </c>
      <c r="G21" s="16">
        <f>'10월_실적'!M21</f>
        <v/>
      </c>
    </row>
    <row r="22">
      <c r="A22" s="15" t="inlineStr">
        <is>
          <t>GFA 전환</t>
        </is>
      </c>
      <c r="B22" s="7">
        <f>'10월_실적'!D10</f>
        <v/>
      </c>
      <c r="C22" s="7">
        <f>'10월_실적'!L10</f>
        <v/>
      </c>
      <c r="D22" s="16">
        <f>'10월_실적'!M10</f>
        <v/>
      </c>
      <c r="E22" s="7">
        <f>'10월_실적'!D22</f>
        <v/>
      </c>
      <c r="F22" s="7">
        <f>'10월_실적'!L22</f>
        <v/>
      </c>
      <c r="G22" s="16">
        <f>'10월_실적'!M22</f>
        <v/>
      </c>
    </row>
    <row r="23">
      <c r="A23" s="15" t="inlineStr">
        <is>
          <t>메타 스스</t>
        </is>
      </c>
      <c r="B23" s="7">
        <f>'10월_실적'!D11</f>
        <v/>
      </c>
      <c r="C23" s="7">
        <f>'10월_실적'!L11</f>
        <v/>
      </c>
      <c r="D23" s="16">
        <f>'10월_실적'!M11</f>
        <v/>
      </c>
      <c r="E23" s="7">
        <f>'10월_실적'!D23</f>
        <v/>
      </c>
      <c r="F23" s="7">
        <f>'10월_실적'!L23</f>
        <v/>
      </c>
      <c r="G23" s="16">
        <f>'10월_실적'!M23</f>
        <v/>
      </c>
    </row>
    <row r="24">
      <c r="A24" s="15" t="inlineStr">
        <is>
          <t>메타 자사몰</t>
        </is>
      </c>
      <c r="B24" s="7">
        <f>'10월_실적'!D12</f>
        <v/>
      </c>
      <c r="C24" s="7">
        <f>'10월_실적'!L12</f>
        <v/>
      </c>
      <c r="D24" s="16">
        <f>'10월_실적'!M12</f>
        <v/>
      </c>
      <c r="E24" s="7">
        <f>'10월_실적'!D24</f>
        <v/>
      </c>
      <c r="F24" s="7">
        <f>'10월_실적'!L24</f>
        <v/>
      </c>
      <c r="G24" s="16">
        <f>'10월_실적'!M24</f>
        <v/>
      </c>
    </row>
    <row r="25">
      <c r="A25" s="11" t="inlineStr">
        <is>
          <t>합계</t>
        </is>
      </c>
      <c r="B25" s="12">
        <f>SUM(B18:B24)</f>
        <v/>
      </c>
      <c r="C25" s="12">
        <f>SUM(C18:C24)</f>
        <v/>
      </c>
      <c r="D25" s="13">
        <f>IF(B25=0,0,C25/B25)</f>
        <v/>
      </c>
      <c r="E25" s="12">
        <f>SUM(E18:E24)</f>
        <v/>
      </c>
      <c r="F25" s="12">
        <f>SUM(F18:F24)</f>
        <v/>
      </c>
      <c r="G25" s="13">
        <f>IF(E25=0,0,F25/E25)</f>
        <v/>
      </c>
    </row>
    <row r="26" ht="30" customHeight="1">
      <c r="A26" s="2" t="inlineStr">
        <is>
          <t>브랜드검색 ROAS는 월 정액 대비 값입니다. GFA 전환 로지오가닉은 10/26부터 집행했습니다.</t>
        </is>
      </c>
    </row>
    <row r="28">
      <c r="A28" s="3" t="inlineStr">
        <is>
          <t>4. 잘한 점 · 성과 이유 / 미달 · 보완</t>
        </is>
      </c>
    </row>
    <row r="29" ht="30" customHeight="1">
      <c r="A29" s="17">
        <f>"· 아넬라 파워링크 노출 시간 제한(10/14~): 행사가 없는 두 주를 비교하면 광고비 "&amp;TEXT('시간제한_검증'!E7,"+0%;-0%")&amp;"인데 구매는 "&amp;'시간제한_검증'!B10&amp;"건에서 "&amp;'시간제한_검증'!C10&amp;"건으로 유지되고 ROAS는 "&amp;TEXT('시간제한_검증'!B13,"#,##0%")&amp;"에서 "&amp;TEXT('시간제한_검증'!C13,"#,##0%")&amp;"로 올랐습니다."</f>
        <v/>
      </c>
    </row>
    <row r="30" ht="30" customHeight="1">
      <c r="A30" s="17">
        <f>"· 아넬라 저효율 키워드·지면 정리와 시간 제한으로 일할 예산의 "&amp;TEXT('10월_실적'!E13,"0%")&amp;"만 집행하고도 ROAS가 하한에 근접("&amp;TEXT('10월_실적'!H31,"0%")&amp;")했습니다. 상시 구간에서는 쇼핑검색(ROAS "&amp;TEXT('주차별_추이'!H49,"#,##0%")&amp;")이 파워링크("&amp;TEXT('주차별_추이'!H48,"#,##0%")&amp;")보다 효율이 높았습니다."</f>
        <v/>
      </c>
    </row>
    <row r="31" ht="30" customHeight="1">
      <c r="A31" s="17">
        <f>"· 메타 시크릿링크가 자사몰 매출의 주축입니다. 시크릿특가 상품이 자사몰 매출의 아넬라 "&amp;TEXT('자사몰_매출'!H7,"0%")&amp;", 로지 "&amp;TEXT('자사몰_매출'!H8,"0%")&amp;"를 차지하고, 시크릿특가 매출 기준 ROAS는 아넬라 "&amp;TEXT('자사몰_매출'!G15,"#,##0%")&amp;", 로지 "&amp;TEXT('자사몰_매출'!G16,"#,##0%")&amp;"입니다."</f>
        <v/>
      </c>
    </row>
    <row r="32" ht="30" customHeight="1">
      <c r="A32" s="17">
        <f>"· 로지오가닉은 행사 영향이 작은 가운데 하한을 상회(ROAS "&amp;TEXT('10월_실적'!G32,"#,##0%")&amp;", 이상치 제외 "&amp;TEXT('10월_실적'!D46,"#,##0%")&amp;")했고, 메타 자사몰 과자 시크릿링크가 10월 내내 안정적("&amp;TEXT('10월_실적'!M24,"#,##0%")&amp;")이었습니다."</f>
        <v/>
      </c>
    </row>
    <row r="33" ht="30" customHeight="1">
      <c r="A33" s="18">
        <f>"· 아넬라 상시 구간 ROAS "&amp;TEXT('주차별_추이'!H11,"#,##0%")&amp;"로 하한("&amp;TEXT('10월_실적'!C31,"0%")&amp;")의 절반 수준. 4주차(10/19~25)는 전 매체 ROAS가 하락했습니다. 보완: 상시 소재 교체, 시간대 입찰 원복 검토, 저효율 정리 효과 검증."</f>
        <v/>
      </c>
    </row>
    <row r="34" ht="30" customHeight="1">
      <c r="A34" s="18">
        <f>"· 아넬라 메타 자사몰·카탈로그 효율 하락. 웰컴박스·기획전은 보류 유지, 시크릿링크는 개편 썸네일로 교체, 카탈로그는 주력 상품 중심으로 재구성."</f>
        <v/>
      </c>
    </row>
    <row r="35" ht="30" customHeight="1">
      <c r="A35" s="18">
        <f>"· 로지오가닉 파워링크+쇼핑검색 합산 ROAS "&amp;TEXT('성과분석'!E20,"#,##0%")&amp;"로 하한 미달. 보완: 파워링크 대표K·구매K 점검, 11/8 이후 상시 구간으로 감액 효과 검증."</f>
        <v/>
      </c>
    </row>
    <row r="36" ht="30" customHeight="1">
      <c r="A36" s="18">
        <f>"· 로지오가닉 메타 스스 10/24~25 전환값이 같은 이틀 스토어 결제의 "&amp;TEXT('점검'!D15,"0.0")&amp;"배. 집계 이슈 가능성이 있어 확인 전까지 목표 산정에서 제외했습니다."</f>
        <v/>
      </c>
    </row>
    <row r="38">
      <c r="A38" s="3" t="inlineStr">
        <is>
          <t>5. 11~12월 목표 (광고비는 확정 예산, 목표 매출은 행사일수 가정에 따른 시나리오)</t>
        </is>
      </c>
    </row>
    <row r="39" ht="44" customHeight="1">
      <c r="A39" s="5" t="inlineStr">
        <is>
          <t>브랜드</t>
        </is>
      </c>
      <c r="B39" s="5" t="inlineStr">
        <is>
          <t>월</t>
        </is>
      </c>
      <c r="C39" s="5" t="inlineStr">
        <is>
          <t>광고비</t>
        </is>
      </c>
      <c r="D39" s="5" t="inlineStr">
        <is>
          <t>목표 ROAS 보수</t>
        </is>
      </c>
      <c r="E39" s="5" t="inlineStr">
        <is>
          <t>목표 ROAS 기준</t>
        </is>
      </c>
      <c r="F39" s="5" t="inlineStr">
        <is>
          <t>목표 ROAS 도전</t>
        </is>
      </c>
      <c r="G39" s="5" t="inlineStr">
        <is>
          <t>목표 매출 보수</t>
        </is>
      </c>
      <c r="H39" s="5" t="inlineStr">
        <is>
          <t>목표 매출 기준</t>
        </is>
      </c>
      <c r="I39" s="5" t="inlineStr">
        <is>
          <t>목표 매출 도전</t>
        </is>
      </c>
      <c r="J39" s="5" t="inlineStr">
        <is>
          <t>KPI 하한</t>
        </is>
      </c>
      <c r="K39" s="5" t="inlineStr">
        <is>
          <t>하한 달성 필요 행사일수</t>
        </is>
      </c>
    </row>
    <row r="40">
      <c r="A40" s="6" t="inlineStr">
        <is>
          <t>아넬라</t>
        </is>
      </c>
      <c r="B40" s="19" t="inlineStr">
        <is>
          <t>11월</t>
        </is>
      </c>
      <c r="C40" s="7">
        <f>'목표_11-12월'!K19</f>
        <v/>
      </c>
      <c r="D40" s="8">
        <f>'목표_11-12월'!L19</f>
        <v/>
      </c>
      <c r="E40" s="8">
        <f>'목표_11-12월'!M19</f>
        <v/>
      </c>
      <c r="F40" s="8">
        <f>'목표_11-12월'!N19</f>
        <v/>
      </c>
      <c r="G40" s="7">
        <f>'목표_11-12월'!O19</f>
        <v/>
      </c>
      <c r="H40" s="7">
        <f>'목표_11-12월'!P19</f>
        <v/>
      </c>
      <c r="I40" s="7">
        <f>'목표_11-12월'!Q19</f>
        <v/>
      </c>
      <c r="J40" s="9">
        <f>'목표_11-12월'!B30</f>
        <v/>
      </c>
      <c r="K40" s="20">
        <f>'목표_11-12월'!O30</f>
        <v/>
      </c>
    </row>
    <row r="41">
      <c r="A41" s="6" t="inlineStr">
        <is>
          <t>아넬라</t>
        </is>
      </c>
      <c r="B41" s="19" t="inlineStr">
        <is>
          <t>12월</t>
        </is>
      </c>
      <c r="C41" s="7">
        <f>'목표_11-12월'!K43</f>
        <v/>
      </c>
      <c r="D41" s="8">
        <f>'목표_11-12월'!L43</f>
        <v/>
      </c>
      <c r="E41" s="8">
        <f>'목표_11-12월'!M43</f>
        <v/>
      </c>
      <c r="F41" s="8">
        <f>'목표_11-12월'!N43</f>
        <v/>
      </c>
      <c r="G41" s="7">
        <f>'목표_11-12월'!O43</f>
        <v/>
      </c>
      <c r="H41" s="7">
        <f>'목표_11-12월'!P43</f>
        <v/>
      </c>
      <c r="I41" s="7">
        <f>'목표_11-12월'!Q43</f>
        <v/>
      </c>
      <c r="J41" s="9">
        <f>'목표_11-12월'!B54</f>
        <v/>
      </c>
      <c r="K41" s="20">
        <f>'목표_11-12월'!O54</f>
        <v/>
      </c>
    </row>
    <row r="42">
      <c r="A42" s="6" t="inlineStr">
        <is>
          <t>로지오가닉</t>
        </is>
      </c>
      <c r="B42" s="19" t="inlineStr">
        <is>
          <t>11월</t>
        </is>
      </c>
      <c r="C42" s="7">
        <f>'목표_11-12월'!K27</f>
        <v/>
      </c>
      <c r="D42" s="8">
        <f>'목표_11-12월'!L27</f>
        <v/>
      </c>
      <c r="E42" s="8">
        <f>'목표_11-12월'!M27</f>
        <v/>
      </c>
      <c r="F42" s="8">
        <f>'목표_11-12월'!N27</f>
        <v/>
      </c>
      <c r="G42" s="7">
        <f>'목표_11-12월'!O27</f>
        <v/>
      </c>
      <c r="H42" s="7">
        <f>'목표_11-12월'!P27</f>
        <v/>
      </c>
      <c r="I42" s="7">
        <f>'목표_11-12월'!Q27</f>
        <v/>
      </c>
      <c r="J42" s="9">
        <f>'목표_11-12월'!B31</f>
        <v/>
      </c>
      <c r="K42" s="20">
        <f>'목표_11-12월'!O31</f>
        <v/>
      </c>
    </row>
    <row r="43">
      <c r="A43" s="6" t="inlineStr">
        <is>
          <t>로지오가닉</t>
        </is>
      </c>
      <c r="B43" s="19" t="inlineStr">
        <is>
          <t>12월</t>
        </is>
      </c>
      <c r="C43" s="7">
        <f>'목표_11-12월'!K51</f>
        <v/>
      </c>
      <c r="D43" s="8">
        <f>'목표_11-12월'!L51</f>
        <v/>
      </c>
      <c r="E43" s="8">
        <f>'목표_11-12월'!M51</f>
        <v/>
      </c>
      <c r="F43" s="8">
        <f>'목표_11-12월'!N51</f>
        <v/>
      </c>
      <c r="G43" s="7">
        <f>'목표_11-12월'!O51</f>
        <v/>
      </c>
      <c r="H43" s="7">
        <f>'목표_11-12월'!P51</f>
        <v/>
      </c>
      <c r="I43" s="7">
        <f>'목표_11-12월'!Q51</f>
        <v/>
      </c>
      <c r="J43" s="9">
        <f>'목표_11-12월'!B55</f>
        <v/>
      </c>
      <c r="K43" s="20">
        <f>'목표_11-12월'!O55</f>
        <v/>
      </c>
    </row>
    <row r="44" ht="30" customHeight="1">
      <c r="A44" s="2">
        <f>"가정: 11월 행사일수 "&amp;'목표_11-12월'!B6&amp;"/"&amp;'목표_11-12월'!C6&amp;"/"&amp;'목표_11-12월'!D6&amp;"일(보수/기준/도전), 12월 "&amp;'목표_11-12월'!B7&amp;"/"&amp;'목표_11-12월'!C7&amp;"/"&amp;'목표_11-12월'!D7&amp;"일. 11월 확정은 넾다세일 8일뿐이고 나머지는 영업팀 일정에 따라 수정합니다."</f>
        <v/>
      </c>
    </row>
    <row r="45" ht="30" customHeight="1">
      <c r="A45" s="2">
        <f>"스마트스토어 일반상품 순매출 목표(기준, 공구 제외): 아넬라 11월 "&amp;TEXT('목표_11-12월'!J60,"#,##0")&amp;"만원, 12월 "&amp;TEXT('목표_11-12월'!J61,"#,##0")&amp;"만원 / 로지오가닉 11월 "&amp;TEXT('목표_11-12월'!J62,"#,##0")&amp;"만원, 12월 "&amp;TEXT('목표_11-12월'!J63,"#,##0")&amp;"만원"</f>
        <v/>
      </c>
    </row>
    <row r="46" ht="30" customHeight="1">
      <c r="A46" s="2">
        <f>"목표 매출은 예산 100% 사용 가정입니다(10월 소진율: 아넬라 "&amp;TEXT('10월_실적'!E13,"0%")&amp;", 로지 "&amp;TEXT('10월_실적'!E25,"0%")&amp;"). 아넬라는 기준 시나리오에서도 하한에 못 미치므로, 하한을 유지하려면 행사일 확보가, 행사가 부족하면 하한 조정 논의가 필요합니다."</f>
        <v/>
      </c>
    </row>
    <row r="49">
      <c r="A49" s="3" t="inlineStr">
        <is>
          <t>6. 확인이 필요한 사항</t>
        </is>
      </c>
    </row>
    <row r="50">
      <c r="A50" s="4" t="inlineStr">
        <is>
          <t>· 블랙프라이데이·12월 행사 일정 (영업팀). 확정되면 목표 시트의 행사일수만 바꾸면 목표가 다시 계산됩니다.</t>
        </is>
      </c>
    </row>
    <row r="51">
      <c r="A51" s="4" t="inlineStr">
        <is>
          <t>· 로지오가닉 메타 스스 10/24~25 전환 집계 (점검 시트 1번).</t>
        </is>
      </c>
    </row>
    <row r="52">
      <c r="A52" s="4" t="inlineStr">
        <is>
          <t>· 10/29~10/31 확정 실적. 확정되면 월말 예상을 실적으로 교체합니다.</t>
        </is>
      </c>
    </row>
    <row r="53">
      <c r="A53" s="4" t="inlineStr">
        <is>
          <t>· 네이버 광고비의 VAT 기준이 예산표(VAT 미포함)와 같은지 확인.</t>
        </is>
      </c>
    </row>
    <row r="54">
      <c r="A54" s="4" t="inlineStr">
        <is>
          <t>· 아넬라 GFA 전환의 귀속 지연(노출 0인 날의 전환). 확인 전까지 이 매체의 행사 구간 ROAS는 높게 나올 수 있습니다.</t>
        </is>
      </c>
    </row>
    <row r="56">
      <c r="A56" s="3" t="inlineStr">
        <is>
          <t>7. 자사몰 매출 (상품명에 "시크릿 특가" = 메타 시크릿링크 유입)</t>
        </is>
      </c>
    </row>
    <row r="57" ht="44" customHeight="1">
      <c r="A57" s="5" t="inlineStr">
        <is>
          <t>브랜드</t>
        </is>
      </c>
      <c r="B57" s="5" t="inlineStr">
        <is>
          <t>자사몰 매출</t>
        </is>
      </c>
      <c r="C57" s="5" t="inlineStr">
        <is>
          <t>시크릿특가 매출</t>
        </is>
      </c>
      <c r="D57" s="5" t="inlineStr">
        <is>
          <t>시크릿특가 비중</t>
        </is>
      </c>
      <c r="E57" s="5" t="inlineStr">
        <is>
          <t>시크릿링크 광고비</t>
        </is>
      </c>
      <c r="F57" s="5" t="inlineStr">
        <is>
          <t>메타 보고 매출</t>
        </is>
      </c>
      <c r="G57" s="5" t="inlineStr">
        <is>
          <t>보고 ROAS</t>
        </is>
      </c>
      <c r="H57" s="5" t="inlineStr">
        <is>
          <t>시크릿특가 실매출 ROAS</t>
        </is>
      </c>
    </row>
    <row r="58">
      <c r="A58" s="6" t="inlineStr">
        <is>
          <t>아넬라</t>
        </is>
      </c>
      <c r="B58" s="7">
        <f>'자사몰_매출'!F7</f>
        <v/>
      </c>
      <c r="C58" s="7">
        <f>'자사몰_매출'!G7</f>
        <v/>
      </c>
      <c r="D58" s="9">
        <f>'자사몰_매출'!H7</f>
        <v/>
      </c>
      <c r="E58" s="7">
        <f>'자사몰_매출'!B15</f>
        <v/>
      </c>
      <c r="F58" s="7">
        <f>'자사몰_매출'!C15</f>
        <v/>
      </c>
      <c r="G58" s="9">
        <f>'자사몰_매출'!F15</f>
        <v/>
      </c>
      <c r="H58" s="8">
        <f>'자사몰_매출'!G15</f>
        <v/>
      </c>
    </row>
    <row r="59">
      <c r="A59" s="6" t="inlineStr">
        <is>
          <t>로지오가닉</t>
        </is>
      </c>
      <c r="B59" s="7">
        <f>'자사몰_매출'!F8</f>
        <v/>
      </c>
      <c r="C59" s="7">
        <f>'자사몰_매출'!G8</f>
        <v/>
      </c>
      <c r="D59" s="9">
        <f>'자사몰_매출'!H8</f>
        <v/>
      </c>
      <c r="E59" s="7">
        <f>'자사몰_매출'!B16</f>
        <v/>
      </c>
      <c r="F59" s="7">
        <f>'자사몰_매출'!C16</f>
        <v/>
      </c>
      <c r="G59" s="9">
        <f>'자사몰_매출'!F16</f>
        <v/>
      </c>
      <c r="H59" s="8">
        <f>'자사몰_매출'!G16</f>
        <v/>
      </c>
    </row>
    <row r="60" ht="28" customHeight="1">
      <c r="A60" s="21" t="inlineStr">
        <is>
          <t>자사몰 매출은 파일의 판매합계 기준(만원)입니다. 파일에 기간이 없어 10월 전체로 보았고, 10/28까지인지 확인이 필요합니다. 아넬라·로지 전품목 맛보기팩(공통)은 브랜드별 합계에서 제외했습니다.</t>
        </is>
      </c>
    </row>
  </sheetData>
  <mergeCells count="23">
    <mergeCell ref="A34:K34"/>
    <mergeCell ref="A30:K30"/>
    <mergeCell ref="A51:K51"/>
    <mergeCell ref="A60:K60"/>
    <mergeCell ref="A36:K36"/>
    <mergeCell ref="A45:K45"/>
    <mergeCell ref="A6:K6"/>
    <mergeCell ref="A54:K54"/>
    <mergeCell ref="A7:K7"/>
    <mergeCell ref="A46:K46"/>
    <mergeCell ref="A50:K50"/>
    <mergeCell ref="A26:K26"/>
    <mergeCell ref="A33:K33"/>
    <mergeCell ref="A2:K2"/>
    <mergeCell ref="A32:K32"/>
    <mergeCell ref="A14:K14"/>
    <mergeCell ref="A5:K5"/>
    <mergeCell ref="A53:K53"/>
    <mergeCell ref="A35:K35"/>
    <mergeCell ref="A29:K29"/>
    <mergeCell ref="A52:K52"/>
    <mergeCell ref="A44:K44"/>
    <mergeCell ref="A31:K31"/>
  </mergeCells>
  <conditionalFormatting sqref="K11:K13">
    <cfRule type="expression" priority="1" dxfId="0">
      <formula>K11="달성"</formula>
    </cfRule>
    <cfRule type="expression" priority="2" dxfId="1">
      <formula>K11="근접"</formula>
    </cfRule>
    <cfRule type="expression" priority="3" dxfId="2">
      <formula>K11="미달"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P46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3" customWidth="1" min="12" max="12"/>
    <col width="10" customWidth="1" min="13" max="13"/>
    <col width="11" customWidth="1" min="14" max="14"/>
    <col width="10" customWidth="1" min="15" max="15"/>
    <col width="10" customWidth="1" min="16" max="16"/>
  </cols>
  <sheetData>
    <row r="1">
      <c r="A1" s="1" t="inlineStr">
        <is>
          <t>10월 광고 실적 (10/1~10/28) 및 목표 대비 달성률</t>
        </is>
      </c>
    </row>
    <row r="2" ht="28" customHeight="1">
      <c r="A2" s="2" t="inlineStr">
        <is>
          <t>금액 단위 만원(별도 표기 제외). 10월 목표는 별도로 세워진 것이 없어, 4분기 KPI 보고안의 ROAS 하한과 10월 광고예산을 적용한 소급 기준입니다.</t>
        </is>
      </c>
    </row>
    <row r="4">
      <c r="A4" s="3" t="inlineStr">
        <is>
          <t>아넬라</t>
        </is>
      </c>
    </row>
    <row r="5" ht="32" customHeight="1">
      <c r="A5" s="5" t="inlineStr">
        <is>
          <t>매체</t>
        </is>
      </c>
      <c r="B5" s="5" t="inlineStr">
        <is>
          <t>10월 월예산</t>
        </is>
      </c>
      <c r="C5" s="5" t="inlineStr">
        <is>
          <t>일할 예산</t>
        </is>
      </c>
      <c r="D5" s="5" t="inlineStr">
        <is>
          <t>광고비</t>
        </is>
      </c>
      <c r="E5" s="5" t="inlineStr">
        <is>
          <t>일할 대비 소진율</t>
        </is>
      </c>
      <c r="F5" s="5" t="inlineStr">
        <is>
          <t>노출</t>
        </is>
      </c>
      <c r="G5" s="5" t="inlineStr">
        <is>
          <t>클릭</t>
        </is>
      </c>
      <c r="H5" s="5" t="inlineStr">
        <is>
          <t>CTR</t>
        </is>
      </c>
      <c r="I5" s="5" t="inlineStr">
        <is>
          <t>CPC(원)</t>
        </is>
      </c>
      <c r="J5" s="5" t="inlineStr">
        <is>
          <t>구매(건)</t>
        </is>
      </c>
      <c r="K5" s="5" t="inlineStr">
        <is>
          <t>CVR</t>
        </is>
      </c>
      <c r="L5" s="5" t="inlineStr">
        <is>
          <t>매출</t>
        </is>
      </c>
      <c r="M5" s="5" t="inlineStr">
        <is>
          <t>ROAS</t>
        </is>
      </c>
      <c r="N5" s="5" t="inlineStr">
        <is>
          <t>CPA(원)</t>
        </is>
      </c>
      <c r="O5" s="5" t="inlineStr">
        <is>
          <t>광고비 비중</t>
        </is>
      </c>
      <c r="P5" s="5" t="inlineStr">
        <is>
          <t>매출 비중</t>
        </is>
      </c>
    </row>
    <row r="6">
      <c r="A6" s="15" t="inlineStr">
        <is>
          <t>파워링크</t>
        </is>
      </c>
      <c r="B6" s="22">
        <f>SUMIFS('가정'!$C$16:$C$27,'가정'!$A$16:$A$27,$A$4,'가정'!$B$16:$B$27,$A6)</f>
        <v/>
      </c>
      <c r="C6" s="22">
        <f>B6*'가정'!$B$7/'가정'!$B$8</f>
        <v/>
      </c>
      <c r="D6" s="22">
        <f>SUMIFS('데이터_광고'!$E$2:$E$500,'데이터_광고'!$A$2:$A$500,$A$4,'데이터_광고'!$B$2:$B$500,$A6)/10000</f>
        <v/>
      </c>
      <c r="E6" s="23">
        <f>IF(C6=0,0,D6/C6)</f>
        <v/>
      </c>
      <c r="F6" s="7">
        <f>SUMIFS('데이터_광고'!$F$2:$F$500,'데이터_광고'!$A$2:$A$500,$A$4,'데이터_광고'!$B$2:$B$500,$A6)</f>
        <v/>
      </c>
      <c r="G6" s="7">
        <f>SUMIFS('데이터_광고'!$G$2:$G$500,'데이터_광고'!$A$2:$A$500,$A$4,'데이터_광고'!$B$2:$B$500,$A6)</f>
        <v/>
      </c>
      <c r="H6" s="24">
        <f>IF(F6=0,0,G6/F6)</f>
        <v/>
      </c>
      <c r="I6" s="7">
        <f>IF(G6=0,0,D6*10000/G6)</f>
        <v/>
      </c>
      <c r="J6" s="7">
        <f>SUMIFS('데이터_광고'!$H$2:$H$500,'데이터_광고'!$A$2:$A$500,$A$4,'데이터_광고'!$B$2:$B$500,$A6)</f>
        <v/>
      </c>
      <c r="K6" s="25">
        <f>IF(G6=0,0,J6/G6)</f>
        <v/>
      </c>
      <c r="L6" s="22">
        <f>SUMIFS('데이터_광고'!$I$2:$I$500,'데이터_광고'!$A$2:$A$500,$A$4,'데이터_광고'!$B$2:$B$500,$A6)/10000</f>
        <v/>
      </c>
      <c r="M6" s="8">
        <f>IF(D6=0,0,L6/D6)</f>
        <v/>
      </c>
      <c r="N6" s="7">
        <f>IF(J6=0,0,D6*10000/J6)</f>
        <v/>
      </c>
      <c r="O6" s="9">
        <f>IF(D$13=0,0,D6/D$13)</f>
        <v/>
      </c>
      <c r="P6" s="9">
        <f>IF(L$13=0,0,L6/L$13)</f>
        <v/>
      </c>
    </row>
    <row r="7">
      <c r="A7" s="15" t="inlineStr">
        <is>
          <t>쇼핑검색</t>
        </is>
      </c>
      <c r="B7" s="22">
        <f>SUMIFS('가정'!$C$16:$C$27,'가정'!$A$16:$A$27,$A$4,'가정'!$B$16:$B$27,$A7)</f>
        <v/>
      </c>
      <c r="C7" s="22">
        <f>B7*'가정'!$B$7/'가정'!$B$8</f>
        <v/>
      </c>
      <c r="D7" s="22">
        <f>SUMIFS('데이터_광고'!$E$2:$E$500,'데이터_광고'!$A$2:$A$500,$A$4,'데이터_광고'!$B$2:$B$500,$A7)/10000</f>
        <v/>
      </c>
      <c r="E7" s="23">
        <f>IF(C7=0,0,D7/C7)</f>
        <v/>
      </c>
      <c r="F7" s="7">
        <f>SUMIFS('데이터_광고'!$F$2:$F$500,'데이터_광고'!$A$2:$A$500,$A$4,'데이터_광고'!$B$2:$B$500,$A7)</f>
        <v/>
      </c>
      <c r="G7" s="7">
        <f>SUMIFS('데이터_광고'!$G$2:$G$500,'데이터_광고'!$A$2:$A$500,$A$4,'데이터_광고'!$B$2:$B$500,$A7)</f>
        <v/>
      </c>
      <c r="H7" s="24">
        <f>IF(F7=0,0,G7/F7)</f>
        <v/>
      </c>
      <c r="I7" s="7">
        <f>IF(G7=0,0,D7*10000/G7)</f>
        <v/>
      </c>
      <c r="J7" s="7">
        <f>SUMIFS('데이터_광고'!$H$2:$H$500,'데이터_광고'!$A$2:$A$500,$A$4,'데이터_광고'!$B$2:$B$500,$A7)</f>
        <v/>
      </c>
      <c r="K7" s="25">
        <f>IF(G7=0,0,J7/G7)</f>
        <v/>
      </c>
      <c r="L7" s="22">
        <f>SUMIFS('데이터_광고'!$I$2:$I$500,'데이터_광고'!$A$2:$A$500,$A$4,'데이터_광고'!$B$2:$B$500,$A7)/10000</f>
        <v/>
      </c>
      <c r="M7" s="8">
        <f>IF(D7=0,0,L7/D7)</f>
        <v/>
      </c>
      <c r="N7" s="7">
        <f>IF(J7=0,0,D7*10000/J7)</f>
        <v/>
      </c>
      <c r="O7" s="9">
        <f>IF(D$13=0,0,D7/D$13)</f>
        <v/>
      </c>
      <c r="P7" s="9">
        <f>IF(L$13=0,0,L7/L$13)</f>
        <v/>
      </c>
    </row>
    <row r="8">
      <c r="A8" s="15" t="inlineStr">
        <is>
          <t>브랜드검색</t>
        </is>
      </c>
      <c r="B8" s="22">
        <f>'가정'!$B$38*'가정'!$B$8/10000</f>
        <v/>
      </c>
      <c r="C8" s="22">
        <f>B8*'가정'!$B$7/'가정'!$B$8</f>
        <v/>
      </c>
      <c r="D8" s="22">
        <f>SUMIFS('데이터_광고'!$E$2:$E$500,'데이터_광고'!$A$2:$A$500,$A$4,'데이터_광고'!$B$2:$B$500,$A8)/10000</f>
        <v/>
      </c>
      <c r="E8" s="23">
        <f>IF(C8=0,0,D8/C8)</f>
        <v/>
      </c>
      <c r="F8" s="7">
        <f>SUMIFS('데이터_광고'!$F$2:$F$500,'데이터_광고'!$A$2:$A$500,$A$4,'데이터_광고'!$B$2:$B$500,$A8)</f>
        <v/>
      </c>
      <c r="G8" s="7">
        <f>SUMIFS('데이터_광고'!$G$2:$G$500,'데이터_광고'!$A$2:$A$500,$A$4,'데이터_광고'!$B$2:$B$500,$A8)</f>
        <v/>
      </c>
      <c r="H8" s="24">
        <f>IF(F8=0,0,G8/F8)</f>
        <v/>
      </c>
      <c r="I8" s="7">
        <f>IF(G8=0,0,D8*10000/G8)</f>
        <v/>
      </c>
      <c r="J8" s="7">
        <f>SUMIFS('데이터_광고'!$H$2:$H$500,'데이터_광고'!$A$2:$A$500,$A$4,'데이터_광고'!$B$2:$B$500,$A8)</f>
        <v/>
      </c>
      <c r="K8" s="25">
        <f>IF(G8=0,0,J8/G8)</f>
        <v/>
      </c>
      <c r="L8" s="22">
        <f>SUMIFS('데이터_광고'!$I$2:$I$500,'데이터_광고'!$A$2:$A$500,$A$4,'데이터_광고'!$B$2:$B$500,$A8)/10000</f>
        <v/>
      </c>
      <c r="M8" s="8">
        <f>IF(D8=0,0,L8/D8)</f>
        <v/>
      </c>
      <c r="N8" s="7">
        <f>IF(J8=0,0,D8*10000/J8)</f>
        <v/>
      </c>
      <c r="O8" s="9">
        <f>IF(D$13=0,0,D8/D$13)</f>
        <v/>
      </c>
      <c r="P8" s="9">
        <f>IF(L$13=0,0,L8/L$13)</f>
        <v/>
      </c>
    </row>
    <row r="9">
      <c r="A9" s="15" t="inlineStr">
        <is>
          <t>GFA 카탈로그</t>
        </is>
      </c>
      <c r="B9" s="22">
        <f>SUMIFS('가정'!$C$16:$C$27,'가정'!$A$16:$A$27,$A$4,'가정'!$B$16:$B$27,$A9)</f>
        <v/>
      </c>
      <c r="C9" s="22">
        <f>B9*'가정'!$B$7/'가정'!$B$8</f>
        <v/>
      </c>
      <c r="D9" s="22">
        <f>SUMIFS('데이터_광고'!$E$2:$E$500,'데이터_광고'!$A$2:$A$500,$A$4,'데이터_광고'!$B$2:$B$500,$A9)/10000</f>
        <v/>
      </c>
      <c r="E9" s="23">
        <f>IF(C9=0,0,D9/C9)</f>
        <v/>
      </c>
      <c r="F9" s="7">
        <f>SUMIFS('데이터_광고'!$F$2:$F$500,'데이터_광고'!$A$2:$A$500,$A$4,'데이터_광고'!$B$2:$B$500,$A9)</f>
        <v/>
      </c>
      <c r="G9" s="7">
        <f>SUMIFS('데이터_광고'!$G$2:$G$500,'데이터_광고'!$A$2:$A$500,$A$4,'데이터_광고'!$B$2:$B$500,$A9)</f>
        <v/>
      </c>
      <c r="H9" s="24">
        <f>IF(F9=0,0,G9/F9)</f>
        <v/>
      </c>
      <c r="I9" s="7">
        <f>IF(G9=0,0,D9*10000/G9)</f>
        <v/>
      </c>
      <c r="J9" s="7">
        <f>SUMIFS('데이터_광고'!$H$2:$H$500,'데이터_광고'!$A$2:$A$500,$A$4,'데이터_광고'!$B$2:$B$500,$A9)</f>
        <v/>
      </c>
      <c r="K9" s="25">
        <f>IF(G9=0,0,J9/G9)</f>
        <v/>
      </c>
      <c r="L9" s="22">
        <f>SUMIFS('데이터_광고'!$I$2:$I$500,'데이터_광고'!$A$2:$A$500,$A$4,'데이터_광고'!$B$2:$B$500,$A9)/10000</f>
        <v/>
      </c>
      <c r="M9" s="8">
        <f>IF(D9=0,0,L9/D9)</f>
        <v/>
      </c>
      <c r="N9" s="7">
        <f>IF(J9=0,0,D9*10000/J9)</f>
        <v/>
      </c>
      <c r="O9" s="9">
        <f>IF(D$13=0,0,D9/D$13)</f>
        <v/>
      </c>
      <c r="P9" s="9">
        <f>IF(L$13=0,0,L9/L$13)</f>
        <v/>
      </c>
    </row>
    <row r="10">
      <c r="A10" s="15" t="inlineStr">
        <is>
          <t>GFA 전환</t>
        </is>
      </c>
      <c r="B10" s="22">
        <f>SUMIFS('가정'!$C$16:$C$27,'가정'!$A$16:$A$27,$A$4,'가정'!$B$16:$B$27,$A10)</f>
        <v/>
      </c>
      <c r="C10" s="22">
        <f>B10*'가정'!$B$7/'가정'!$B$8</f>
        <v/>
      </c>
      <c r="D10" s="22">
        <f>SUMIFS('데이터_광고'!$E$2:$E$500,'데이터_광고'!$A$2:$A$500,$A$4,'데이터_광고'!$B$2:$B$500,$A10)/10000</f>
        <v/>
      </c>
      <c r="E10" s="23">
        <f>IF(C10=0,0,D10/C10)</f>
        <v/>
      </c>
      <c r="F10" s="7">
        <f>SUMIFS('데이터_광고'!$F$2:$F$500,'데이터_광고'!$A$2:$A$500,$A$4,'데이터_광고'!$B$2:$B$500,$A10)</f>
        <v/>
      </c>
      <c r="G10" s="7">
        <f>SUMIFS('데이터_광고'!$G$2:$G$500,'데이터_광고'!$A$2:$A$500,$A$4,'데이터_광고'!$B$2:$B$500,$A10)</f>
        <v/>
      </c>
      <c r="H10" s="24">
        <f>IF(F10=0,0,G10/F10)</f>
        <v/>
      </c>
      <c r="I10" s="7">
        <f>IF(G10=0,0,D10*10000/G10)</f>
        <v/>
      </c>
      <c r="J10" s="7">
        <f>SUMIFS('데이터_광고'!$H$2:$H$500,'데이터_광고'!$A$2:$A$500,$A$4,'데이터_광고'!$B$2:$B$500,$A10)</f>
        <v/>
      </c>
      <c r="K10" s="25">
        <f>IF(G10=0,0,J10/G10)</f>
        <v/>
      </c>
      <c r="L10" s="22">
        <f>SUMIFS('데이터_광고'!$I$2:$I$500,'데이터_광고'!$A$2:$A$500,$A$4,'데이터_광고'!$B$2:$B$500,$A10)/10000</f>
        <v/>
      </c>
      <c r="M10" s="8">
        <f>IF(D10=0,0,L10/D10)</f>
        <v/>
      </c>
      <c r="N10" s="7">
        <f>IF(J10=0,0,D10*10000/J10)</f>
        <v/>
      </c>
      <c r="O10" s="9">
        <f>IF(D$13=0,0,D10/D$13)</f>
        <v/>
      </c>
      <c r="P10" s="9">
        <f>IF(L$13=0,0,L10/L$13)</f>
        <v/>
      </c>
    </row>
    <row r="11">
      <c r="A11" s="15" t="inlineStr">
        <is>
          <t>메타 스스</t>
        </is>
      </c>
      <c r="B11" s="22">
        <f>SUMIFS('가정'!$C$16:$C$27,'가정'!$A$16:$A$27,$A$4,'가정'!$B$16:$B$27,$A11)</f>
        <v/>
      </c>
      <c r="C11" s="22">
        <f>B11*'가정'!$B$7/'가정'!$B$8</f>
        <v/>
      </c>
      <c r="D11" s="22">
        <f>SUMIFS('데이터_광고'!$E$2:$E$500,'데이터_광고'!$A$2:$A$500,$A$4,'데이터_광고'!$B$2:$B$500,$A11)/10000</f>
        <v/>
      </c>
      <c r="E11" s="23">
        <f>IF(C11=0,0,D11/C11)</f>
        <v/>
      </c>
      <c r="F11" s="7">
        <f>SUMIFS('데이터_광고'!$F$2:$F$500,'데이터_광고'!$A$2:$A$500,$A$4,'데이터_광고'!$B$2:$B$500,$A11)</f>
        <v/>
      </c>
      <c r="G11" s="7">
        <f>SUMIFS('데이터_광고'!$G$2:$G$500,'데이터_광고'!$A$2:$A$500,$A$4,'데이터_광고'!$B$2:$B$500,$A11)</f>
        <v/>
      </c>
      <c r="H11" s="24">
        <f>IF(F11=0,0,G11/F11)</f>
        <v/>
      </c>
      <c r="I11" s="7">
        <f>IF(G11=0,0,D11*10000/G11)</f>
        <v/>
      </c>
      <c r="J11" s="7">
        <f>SUMIFS('데이터_광고'!$H$2:$H$500,'데이터_광고'!$A$2:$A$500,$A$4,'데이터_광고'!$B$2:$B$500,$A11)</f>
        <v/>
      </c>
      <c r="K11" s="25">
        <f>IF(G11=0,0,J11/G11)</f>
        <v/>
      </c>
      <c r="L11" s="22">
        <f>SUMIFS('데이터_광고'!$I$2:$I$500,'데이터_광고'!$A$2:$A$500,$A$4,'데이터_광고'!$B$2:$B$500,$A11)/10000</f>
        <v/>
      </c>
      <c r="M11" s="8">
        <f>IF(D11=0,0,L11/D11)</f>
        <v/>
      </c>
      <c r="N11" s="7">
        <f>IF(J11=0,0,D11*10000/J11)</f>
        <v/>
      </c>
      <c r="O11" s="9">
        <f>IF(D$13=0,0,D11/D$13)</f>
        <v/>
      </c>
      <c r="P11" s="9">
        <f>IF(L$13=0,0,L11/L$13)</f>
        <v/>
      </c>
    </row>
    <row r="12">
      <c r="A12" s="15" t="inlineStr">
        <is>
          <t>메타 자사몰</t>
        </is>
      </c>
      <c r="B12" s="22">
        <f>SUMIFS('가정'!$C$16:$C$27,'가정'!$A$16:$A$27,$A$4,'가정'!$B$16:$B$27,$A12)</f>
        <v/>
      </c>
      <c r="C12" s="22">
        <f>B12*'가정'!$B$7/'가정'!$B$8</f>
        <v/>
      </c>
      <c r="D12" s="22">
        <f>SUMIFS('데이터_광고'!$E$2:$E$500,'데이터_광고'!$A$2:$A$500,$A$4,'데이터_광고'!$B$2:$B$500,$A12)/10000</f>
        <v/>
      </c>
      <c r="E12" s="23">
        <f>IF(C12=0,0,D12/C12)</f>
        <v/>
      </c>
      <c r="F12" s="7">
        <f>SUMIFS('데이터_광고'!$F$2:$F$500,'데이터_광고'!$A$2:$A$500,$A$4,'데이터_광고'!$B$2:$B$500,$A12)</f>
        <v/>
      </c>
      <c r="G12" s="7">
        <f>SUMIFS('데이터_광고'!$G$2:$G$500,'데이터_광고'!$A$2:$A$500,$A$4,'데이터_광고'!$B$2:$B$500,$A12)</f>
        <v/>
      </c>
      <c r="H12" s="24">
        <f>IF(F12=0,0,G12/F12)</f>
        <v/>
      </c>
      <c r="I12" s="7">
        <f>IF(G12=0,0,D12*10000/G12)</f>
        <v/>
      </c>
      <c r="J12" s="7">
        <f>SUMIFS('데이터_광고'!$H$2:$H$500,'데이터_광고'!$A$2:$A$500,$A$4,'데이터_광고'!$B$2:$B$500,$A12)</f>
        <v/>
      </c>
      <c r="K12" s="25">
        <f>IF(G12=0,0,J12/G12)</f>
        <v/>
      </c>
      <c r="L12" s="22">
        <f>SUMIFS('데이터_광고'!$I$2:$I$500,'데이터_광고'!$A$2:$A$500,$A$4,'데이터_광고'!$B$2:$B$500,$A12)/10000</f>
        <v/>
      </c>
      <c r="M12" s="8">
        <f>IF(D12=0,0,L12/D12)</f>
        <v/>
      </c>
      <c r="N12" s="7">
        <f>IF(J12=0,0,D12*10000/J12)</f>
        <v/>
      </c>
      <c r="O12" s="9">
        <f>IF(D$13=0,0,D12/D$13)</f>
        <v/>
      </c>
      <c r="P12" s="9">
        <f>IF(L$13=0,0,L12/L$13)</f>
        <v/>
      </c>
    </row>
    <row r="13">
      <c r="A13" s="11" t="inlineStr">
        <is>
          <t>아넬라 합계</t>
        </is>
      </c>
      <c r="B13" s="26">
        <f>SUM(B6:B12)</f>
        <v/>
      </c>
      <c r="C13" s="26">
        <f>SUM(C6:C12)</f>
        <v/>
      </c>
      <c r="D13" s="26">
        <f>SUM(D6:D12)</f>
        <v/>
      </c>
      <c r="E13" s="27">
        <f>IF(C13=0,0,D13/C13)</f>
        <v/>
      </c>
      <c r="F13" s="12">
        <f>SUM(F6:F12)</f>
        <v/>
      </c>
      <c r="G13" s="12">
        <f>SUM(G6:G12)</f>
        <v/>
      </c>
      <c r="H13" s="28">
        <f>IF(F13=0,0,G13/F13)</f>
        <v/>
      </c>
      <c r="I13" s="12">
        <f>IF(G13=0,0,D13*10000/G13)</f>
        <v/>
      </c>
      <c r="J13" s="12">
        <f>SUM(J6:J12)</f>
        <v/>
      </c>
      <c r="K13" s="29">
        <f>IF(G13=0,0,J13/G13)</f>
        <v/>
      </c>
      <c r="L13" s="26">
        <f>SUM(L6:L12)</f>
        <v/>
      </c>
      <c r="M13" s="13">
        <f>IF(D13=0,0,L13/D13)</f>
        <v/>
      </c>
      <c r="N13" s="12">
        <f>IF(J13=0,0,D13*10000/J13)</f>
        <v/>
      </c>
      <c r="O13" s="13">
        <f>IF(D$13=0,0,D13/D$13)</f>
        <v/>
      </c>
      <c r="P13" s="13">
        <f>IF(L$13=0,0,L13/L$13)</f>
        <v/>
      </c>
    </row>
    <row r="16">
      <c r="A16" s="3" t="inlineStr">
        <is>
          <t>로지오가닉</t>
        </is>
      </c>
    </row>
    <row r="17" ht="32" customHeight="1">
      <c r="A17" s="5" t="inlineStr">
        <is>
          <t>매체</t>
        </is>
      </c>
      <c r="B17" s="5" t="inlineStr">
        <is>
          <t>10월 월예산</t>
        </is>
      </c>
      <c r="C17" s="5" t="inlineStr">
        <is>
          <t>일할 예산</t>
        </is>
      </c>
      <c r="D17" s="5" t="inlineStr">
        <is>
          <t>광고비</t>
        </is>
      </c>
      <c r="E17" s="5" t="inlineStr">
        <is>
          <t>일할 대비 소진율</t>
        </is>
      </c>
      <c r="F17" s="5" t="inlineStr">
        <is>
          <t>노출</t>
        </is>
      </c>
      <c r="G17" s="5" t="inlineStr">
        <is>
          <t>클릭</t>
        </is>
      </c>
      <c r="H17" s="5" t="inlineStr">
        <is>
          <t>CTR</t>
        </is>
      </c>
      <c r="I17" s="5" t="inlineStr">
        <is>
          <t>CPC(원)</t>
        </is>
      </c>
      <c r="J17" s="5" t="inlineStr">
        <is>
          <t>구매(건)</t>
        </is>
      </c>
      <c r="K17" s="5" t="inlineStr">
        <is>
          <t>CVR</t>
        </is>
      </c>
      <c r="L17" s="5" t="inlineStr">
        <is>
          <t>매출</t>
        </is>
      </c>
      <c r="M17" s="5" t="inlineStr">
        <is>
          <t>ROAS</t>
        </is>
      </c>
      <c r="N17" s="5" t="inlineStr">
        <is>
          <t>CPA(원)</t>
        </is>
      </c>
      <c r="O17" s="5" t="inlineStr">
        <is>
          <t>광고비 비중</t>
        </is>
      </c>
      <c r="P17" s="5" t="inlineStr">
        <is>
          <t>매출 비중</t>
        </is>
      </c>
    </row>
    <row r="18">
      <c r="A18" s="15" t="inlineStr">
        <is>
          <t>파워링크</t>
        </is>
      </c>
      <c r="B18" s="22">
        <f>SUMIFS('가정'!$C$16:$C$27,'가정'!$A$16:$A$27,$A$16,'가정'!$B$16:$B$27,$A18)</f>
        <v/>
      </c>
      <c r="C18" s="22">
        <f>B18*'가정'!$B$7/'가정'!$B$8</f>
        <v/>
      </c>
      <c r="D18" s="22">
        <f>SUMIFS('데이터_광고'!$E$2:$E$500,'데이터_광고'!$A$2:$A$500,$A$16,'데이터_광고'!$B$2:$B$500,$A18)/10000</f>
        <v/>
      </c>
      <c r="E18" s="23">
        <f>IF(C18=0,0,D18/C18)</f>
        <v/>
      </c>
      <c r="F18" s="7">
        <f>SUMIFS('데이터_광고'!$F$2:$F$500,'데이터_광고'!$A$2:$A$500,$A$16,'데이터_광고'!$B$2:$B$500,$A18)</f>
        <v/>
      </c>
      <c r="G18" s="7">
        <f>SUMIFS('데이터_광고'!$G$2:$G$500,'데이터_광고'!$A$2:$A$500,$A$16,'데이터_광고'!$B$2:$B$500,$A18)</f>
        <v/>
      </c>
      <c r="H18" s="24">
        <f>IF(F18=0,0,G18/F18)</f>
        <v/>
      </c>
      <c r="I18" s="7">
        <f>IF(G18=0,0,D18*10000/G18)</f>
        <v/>
      </c>
      <c r="J18" s="7">
        <f>SUMIFS('데이터_광고'!$H$2:$H$500,'데이터_광고'!$A$2:$A$500,$A$16,'데이터_광고'!$B$2:$B$500,$A18)</f>
        <v/>
      </c>
      <c r="K18" s="25">
        <f>IF(G18=0,0,J18/G18)</f>
        <v/>
      </c>
      <c r="L18" s="22">
        <f>SUMIFS('데이터_광고'!$I$2:$I$500,'데이터_광고'!$A$2:$A$500,$A$16,'데이터_광고'!$B$2:$B$500,$A18)/10000</f>
        <v/>
      </c>
      <c r="M18" s="8">
        <f>IF(D18=0,0,L18/D18)</f>
        <v/>
      </c>
      <c r="N18" s="7">
        <f>IF(J18=0,0,D18*10000/J18)</f>
        <v/>
      </c>
      <c r="O18" s="9">
        <f>IF(D$25=0,0,D18/D$25)</f>
        <v/>
      </c>
      <c r="P18" s="9">
        <f>IF(L$25=0,0,L18/L$25)</f>
        <v/>
      </c>
    </row>
    <row r="19">
      <c r="A19" s="15" t="inlineStr">
        <is>
          <t>쇼핑검색</t>
        </is>
      </c>
      <c r="B19" s="22">
        <f>SUMIFS('가정'!$C$16:$C$27,'가정'!$A$16:$A$27,$A$16,'가정'!$B$16:$B$27,$A19)</f>
        <v/>
      </c>
      <c r="C19" s="22">
        <f>B19*'가정'!$B$7/'가정'!$B$8</f>
        <v/>
      </c>
      <c r="D19" s="22">
        <f>SUMIFS('데이터_광고'!$E$2:$E$500,'데이터_광고'!$A$2:$A$500,$A$16,'데이터_광고'!$B$2:$B$500,$A19)/10000</f>
        <v/>
      </c>
      <c r="E19" s="23">
        <f>IF(C19=0,0,D19/C19)</f>
        <v/>
      </c>
      <c r="F19" s="7">
        <f>SUMIFS('데이터_광고'!$F$2:$F$500,'데이터_광고'!$A$2:$A$500,$A$16,'데이터_광고'!$B$2:$B$500,$A19)</f>
        <v/>
      </c>
      <c r="G19" s="7">
        <f>SUMIFS('데이터_광고'!$G$2:$G$500,'데이터_광고'!$A$2:$A$500,$A$16,'데이터_광고'!$B$2:$B$500,$A19)</f>
        <v/>
      </c>
      <c r="H19" s="24">
        <f>IF(F19=0,0,G19/F19)</f>
        <v/>
      </c>
      <c r="I19" s="7">
        <f>IF(G19=0,0,D19*10000/G19)</f>
        <v/>
      </c>
      <c r="J19" s="7">
        <f>SUMIFS('데이터_광고'!$H$2:$H$500,'데이터_광고'!$A$2:$A$500,$A$16,'데이터_광고'!$B$2:$B$500,$A19)</f>
        <v/>
      </c>
      <c r="K19" s="25">
        <f>IF(G19=0,0,J19/G19)</f>
        <v/>
      </c>
      <c r="L19" s="22">
        <f>SUMIFS('데이터_광고'!$I$2:$I$500,'데이터_광고'!$A$2:$A$500,$A$16,'데이터_광고'!$B$2:$B$500,$A19)/10000</f>
        <v/>
      </c>
      <c r="M19" s="8">
        <f>IF(D19=0,0,L19/D19)</f>
        <v/>
      </c>
      <c r="N19" s="7">
        <f>IF(J19=0,0,D19*10000/J19)</f>
        <v/>
      </c>
      <c r="O19" s="9">
        <f>IF(D$25=0,0,D19/D$25)</f>
        <v/>
      </c>
      <c r="P19" s="9">
        <f>IF(L$25=0,0,L19/L$25)</f>
        <v/>
      </c>
    </row>
    <row r="20">
      <c r="A20" s="15" t="inlineStr">
        <is>
          <t>브랜드검색</t>
        </is>
      </c>
      <c r="B20" s="22">
        <f>'가정'!$B$38*'가정'!$B$8/10000</f>
        <v/>
      </c>
      <c r="C20" s="22">
        <f>B20*'가정'!$B$7/'가정'!$B$8</f>
        <v/>
      </c>
      <c r="D20" s="22">
        <f>SUMIFS('데이터_광고'!$E$2:$E$500,'데이터_광고'!$A$2:$A$500,$A$16,'데이터_광고'!$B$2:$B$500,$A20)/10000</f>
        <v/>
      </c>
      <c r="E20" s="23">
        <f>IF(C20=0,0,D20/C20)</f>
        <v/>
      </c>
      <c r="F20" s="7">
        <f>SUMIFS('데이터_광고'!$F$2:$F$500,'데이터_광고'!$A$2:$A$500,$A$16,'데이터_광고'!$B$2:$B$500,$A20)</f>
        <v/>
      </c>
      <c r="G20" s="7">
        <f>SUMIFS('데이터_광고'!$G$2:$G$500,'데이터_광고'!$A$2:$A$500,$A$16,'데이터_광고'!$B$2:$B$500,$A20)</f>
        <v/>
      </c>
      <c r="H20" s="24">
        <f>IF(F20=0,0,G20/F20)</f>
        <v/>
      </c>
      <c r="I20" s="7">
        <f>IF(G20=0,0,D20*10000/G20)</f>
        <v/>
      </c>
      <c r="J20" s="7">
        <f>SUMIFS('데이터_광고'!$H$2:$H$500,'데이터_광고'!$A$2:$A$500,$A$16,'데이터_광고'!$B$2:$B$500,$A20)</f>
        <v/>
      </c>
      <c r="K20" s="25">
        <f>IF(G20=0,0,J20/G20)</f>
        <v/>
      </c>
      <c r="L20" s="22">
        <f>SUMIFS('데이터_광고'!$I$2:$I$500,'데이터_광고'!$A$2:$A$500,$A$16,'데이터_광고'!$B$2:$B$500,$A20)/10000</f>
        <v/>
      </c>
      <c r="M20" s="8">
        <f>IF(D20=0,0,L20/D20)</f>
        <v/>
      </c>
      <c r="N20" s="7">
        <f>IF(J20=0,0,D20*10000/J20)</f>
        <v/>
      </c>
      <c r="O20" s="9">
        <f>IF(D$25=0,0,D20/D$25)</f>
        <v/>
      </c>
      <c r="P20" s="9">
        <f>IF(L$25=0,0,L20/L$25)</f>
        <v/>
      </c>
    </row>
    <row r="21">
      <c r="A21" s="15" t="inlineStr">
        <is>
          <t>GFA 카탈로그</t>
        </is>
      </c>
      <c r="B21" s="22">
        <f>SUMIFS('가정'!$C$16:$C$27,'가정'!$A$16:$A$27,$A$16,'가정'!$B$16:$B$27,$A21)</f>
        <v/>
      </c>
      <c r="C21" s="22">
        <f>B21*'가정'!$B$7/'가정'!$B$8</f>
        <v/>
      </c>
      <c r="D21" s="22">
        <f>SUMIFS('데이터_광고'!$E$2:$E$500,'데이터_광고'!$A$2:$A$500,$A$16,'데이터_광고'!$B$2:$B$500,$A21)/10000</f>
        <v/>
      </c>
      <c r="E21" s="23">
        <f>IF(C21=0,0,D21/C21)</f>
        <v/>
      </c>
      <c r="F21" s="7">
        <f>SUMIFS('데이터_광고'!$F$2:$F$500,'데이터_광고'!$A$2:$A$500,$A$16,'데이터_광고'!$B$2:$B$500,$A21)</f>
        <v/>
      </c>
      <c r="G21" s="7">
        <f>SUMIFS('데이터_광고'!$G$2:$G$500,'데이터_광고'!$A$2:$A$500,$A$16,'데이터_광고'!$B$2:$B$500,$A21)</f>
        <v/>
      </c>
      <c r="H21" s="24">
        <f>IF(F21=0,0,G21/F21)</f>
        <v/>
      </c>
      <c r="I21" s="7">
        <f>IF(G21=0,0,D21*10000/G21)</f>
        <v/>
      </c>
      <c r="J21" s="7">
        <f>SUMIFS('데이터_광고'!$H$2:$H$500,'데이터_광고'!$A$2:$A$500,$A$16,'데이터_광고'!$B$2:$B$500,$A21)</f>
        <v/>
      </c>
      <c r="K21" s="25">
        <f>IF(G21=0,0,J21/G21)</f>
        <v/>
      </c>
      <c r="L21" s="22">
        <f>SUMIFS('데이터_광고'!$I$2:$I$500,'데이터_광고'!$A$2:$A$500,$A$16,'데이터_광고'!$B$2:$B$500,$A21)/10000</f>
        <v/>
      </c>
      <c r="M21" s="8">
        <f>IF(D21=0,0,L21/D21)</f>
        <v/>
      </c>
      <c r="N21" s="7">
        <f>IF(J21=0,0,D21*10000/J21)</f>
        <v/>
      </c>
      <c r="O21" s="9">
        <f>IF(D$25=0,0,D21/D$25)</f>
        <v/>
      </c>
      <c r="P21" s="9">
        <f>IF(L$25=0,0,L21/L$25)</f>
        <v/>
      </c>
    </row>
    <row r="22">
      <c r="A22" s="15" t="inlineStr">
        <is>
          <t>GFA 전환</t>
        </is>
      </c>
      <c r="B22" s="22">
        <f>SUMIFS('가정'!$C$16:$C$27,'가정'!$A$16:$A$27,$A$16,'가정'!$B$16:$B$27,$A22)</f>
        <v/>
      </c>
      <c r="C22" s="22">
        <f>B22*'가정'!$B$7/'가정'!$B$8</f>
        <v/>
      </c>
      <c r="D22" s="22">
        <f>SUMIFS('데이터_광고'!$E$2:$E$500,'데이터_광고'!$A$2:$A$500,$A$16,'데이터_광고'!$B$2:$B$500,$A22)/10000</f>
        <v/>
      </c>
      <c r="E22" s="23">
        <f>IF(C22=0,0,D22/C22)</f>
        <v/>
      </c>
      <c r="F22" s="7">
        <f>SUMIFS('데이터_광고'!$F$2:$F$500,'데이터_광고'!$A$2:$A$500,$A$16,'데이터_광고'!$B$2:$B$500,$A22)</f>
        <v/>
      </c>
      <c r="G22" s="7">
        <f>SUMIFS('데이터_광고'!$G$2:$G$500,'데이터_광고'!$A$2:$A$500,$A$16,'데이터_광고'!$B$2:$B$500,$A22)</f>
        <v/>
      </c>
      <c r="H22" s="24">
        <f>IF(F22=0,0,G22/F22)</f>
        <v/>
      </c>
      <c r="I22" s="7">
        <f>IF(G22=0,0,D22*10000/G22)</f>
        <v/>
      </c>
      <c r="J22" s="7">
        <f>SUMIFS('데이터_광고'!$H$2:$H$500,'데이터_광고'!$A$2:$A$500,$A$16,'데이터_광고'!$B$2:$B$500,$A22)</f>
        <v/>
      </c>
      <c r="K22" s="25">
        <f>IF(G22=0,0,J22/G22)</f>
        <v/>
      </c>
      <c r="L22" s="22">
        <f>SUMIFS('데이터_광고'!$I$2:$I$500,'데이터_광고'!$A$2:$A$500,$A$16,'데이터_광고'!$B$2:$B$500,$A22)/10000</f>
        <v/>
      </c>
      <c r="M22" s="8">
        <f>IF(D22=0,0,L22/D22)</f>
        <v/>
      </c>
      <c r="N22" s="7">
        <f>IF(J22=0,0,D22*10000/J22)</f>
        <v/>
      </c>
      <c r="O22" s="9">
        <f>IF(D$25=0,0,D22/D$25)</f>
        <v/>
      </c>
      <c r="P22" s="9">
        <f>IF(L$25=0,0,L22/L$25)</f>
        <v/>
      </c>
    </row>
    <row r="23">
      <c r="A23" s="15" t="inlineStr">
        <is>
          <t>메타 스스</t>
        </is>
      </c>
      <c r="B23" s="22">
        <f>SUMIFS('가정'!$C$16:$C$27,'가정'!$A$16:$A$27,$A$16,'가정'!$B$16:$B$27,$A23)</f>
        <v/>
      </c>
      <c r="C23" s="22">
        <f>B23*'가정'!$B$7/'가정'!$B$8</f>
        <v/>
      </c>
      <c r="D23" s="22">
        <f>SUMIFS('데이터_광고'!$E$2:$E$500,'데이터_광고'!$A$2:$A$500,$A$16,'데이터_광고'!$B$2:$B$500,$A23)/10000</f>
        <v/>
      </c>
      <c r="E23" s="23">
        <f>IF(C23=0,0,D23/C23)</f>
        <v/>
      </c>
      <c r="F23" s="7">
        <f>SUMIFS('데이터_광고'!$F$2:$F$500,'데이터_광고'!$A$2:$A$500,$A$16,'데이터_광고'!$B$2:$B$500,$A23)</f>
        <v/>
      </c>
      <c r="G23" s="7">
        <f>SUMIFS('데이터_광고'!$G$2:$G$500,'데이터_광고'!$A$2:$A$500,$A$16,'데이터_광고'!$B$2:$B$500,$A23)</f>
        <v/>
      </c>
      <c r="H23" s="24">
        <f>IF(F23=0,0,G23/F23)</f>
        <v/>
      </c>
      <c r="I23" s="7">
        <f>IF(G23=0,0,D23*10000/G23)</f>
        <v/>
      </c>
      <c r="J23" s="7">
        <f>SUMIFS('데이터_광고'!$H$2:$H$500,'데이터_광고'!$A$2:$A$500,$A$16,'데이터_광고'!$B$2:$B$500,$A23)</f>
        <v/>
      </c>
      <c r="K23" s="25">
        <f>IF(G23=0,0,J23/G23)</f>
        <v/>
      </c>
      <c r="L23" s="22">
        <f>SUMIFS('데이터_광고'!$I$2:$I$500,'데이터_광고'!$A$2:$A$500,$A$16,'데이터_광고'!$B$2:$B$500,$A23)/10000</f>
        <v/>
      </c>
      <c r="M23" s="8">
        <f>IF(D23=0,0,L23/D23)</f>
        <v/>
      </c>
      <c r="N23" s="7">
        <f>IF(J23=0,0,D23*10000/J23)</f>
        <v/>
      </c>
      <c r="O23" s="9">
        <f>IF(D$25=0,0,D23/D$25)</f>
        <v/>
      </c>
      <c r="P23" s="9">
        <f>IF(L$25=0,0,L23/L$25)</f>
        <v/>
      </c>
    </row>
    <row r="24">
      <c r="A24" s="15" t="inlineStr">
        <is>
          <t>메타 자사몰</t>
        </is>
      </c>
      <c r="B24" s="22">
        <f>SUMIFS('가정'!$C$16:$C$27,'가정'!$A$16:$A$27,$A$16,'가정'!$B$16:$B$27,$A24)</f>
        <v/>
      </c>
      <c r="C24" s="22">
        <f>B24*'가정'!$B$7/'가정'!$B$8</f>
        <v/>
      </c>
      <c r="D24" s="22">
        <f>SUMIFS('데이터_광고'!$E$2:$E$500,'데이터_광고'!$A$2:$A$500,$A$16,'데이터_광고'!$B$2:$B$500,$A24)/10000</f>
        <v/>
      </c>
      <c r="E24" s="23">
        <f>IF(C24=0,0,D24/C24)</f>
        <v/>
      </c>
      <c r="F24" s="7">
        <f>SUMIFS('데이터_광고'!$F$2:$F$500,'데이터_광고'!$A$2:$A$500,$A$16,'데이터_광고'!$B$2:$B$500,$A24)</f>
        <v/>
      </c>
      <c r="G24" s="7">
        <f>SUMIFS('데이터_광고'!$G$2:$G$500,'데이터_광고'!$A$2:$A$500,$A$16,'데이터_광고'!$B$2:$B$500,$A24)</f>
        <v/>
      </c>
      <c r="H24" s="24">
        <f>IF(F24=0,0,G24/F24)</f>
        <v/>
      </c>
      <c r="I24" s="7">
        <f>IF(G24=0,0,D24*10000/G24)</f>
        <v/>
      </c>
      <c r="J24" s="7">
        <f>SUMIFS('데이터_광고'!$H$2:$H$500,'데이터_광고'!$A$2:$A$500,$A$16,'데이터_광고'!$B$2:$B$500,$A24)</f>
        <v/>
      </c>
      <c r="K24" s="25">
        <f>IF(G24=0,0,J24/G24)</f>
        <v/>
      </c>
      <c r="L24" s="22">
        <f>SUMIFS('데이터_광고'!$I$2:$I$500,'데이터_광고'!$A$2:$A$500,$A$16,'데이터_광고'!$B$2:$B$500,$A24)/10000</f>
        <v/>
      </c>
      <c r="M24" s="8">
        <f>IF(D24=0,0,L24/D24)</f>
        <v/>
      </c>
      <c r="N24" s="7">
        <f>IF(J24=0,0,D24*10000/J24)</f>
        <v/>
      </c>
      <c r="O24" s="9">
        <f>IF(D$25=0,0,D24/D$25)</f>
        <v/>
      </c>
      <c r="P24" s="9">
        <f>IF(L$25=0,0,L24/L$25)</f>
        <v/>
      </c>
    </row>
    <row r="25">
      <c r="A25" s="11" t="inlineStr">
        <is>
          <t>로지오가닉 합계</t>
        </is>
      </c>
      <c r="B25" s="26">
        <f>SUM(B18:B24)</f>
        <v/>
      </c>
      <c r="C25" s="26">
        <f>SUM(C18:C24)</f>
        <v/>
      </c>
      <c r="D25" s="26">
        <f>SUM(D18:D24)</f>
        <v/>
      </c>
      <c r="E25" s="27">
        <f>IF(C25=0,0,D25/C25)</f>
        <v/>
      </c>
      <c r="F25" s="12">
        <f>SUM(F18:F24)</f>
        <v/>
      </c>
      <c r="G25" s="12">
        <f>SUM(G18:G24)</f>
        <v/>
      </c>
      <c r="H25" s="28">
        <f>IF(F25=0,0,G25/F25)</f>
        <v/>
      </c>
      <c r="I25" s="12">
        <f>IF(G25=0,0,D25*10000/G25)</f>
        <v/>
      </c>
      <c r="J25" s="12">
        <f>SUM(J18:J24)</f>
        <v/>
      </c>
      <c r="K25" s="29">
        <f>IF(G25=0,0,J25/G25)</f>
        <v/>
      </c>
      <c r="L25" s="26">
        <f>SUM(L18:L24)</f>
        <v/>
      </c>
      <c r="M25" s="13">
        <f>IF(D25=0,0,L25/D25)</f>
        <v/>
      </c>
      <c r="N25" s="12">
        <f>IF(J25=0,0,D25*10000/J25)</f>
        <v/>
      </c>
      <c r="O25" s="13">
        <f>IF(D$25=0,0,D25/D$25)</f>
        <v/>
      </c>
      <c r="P25" s="13">
        <f>IF(L$25=0,0,L25/L$25)</f>
        <v/>
      </c>
    </row>
    <row r="27" ht="28" customHeight="1">
      <c r="A27" s="2" t="inlineStr">
        <is>
          <t>브랜드검색은 월 정액을 일할 안분한 값이고, 예산표(네이버 VAT 미포함)에는 포함돼 있지 않습니다. 합계 광고비·ROAS는 브랜드검색 정액을 포함한 값으로 주간·월간 리포트와 같은 기준입니다.</t>
        </is>
      </c>
    </row>
    <row r="29">
      <c r="A29" s="3" t="inlineStr">
        <is>
          <t>① 10월 목표(소급) 대비 28일 누계 실적</t>
        </is>
      </c>
    </row>
    <row r="30" ht="32" customHeight="1">
      <c r="A30" s="5" t="inlineStr">
        <is>
          <t>브랜드</t>
        </is>
      </c>
      <c r="B30" s="5" t="inlineStr">
        <is>
          <t>월 광고비 계획</t>
        </is>
      </c>
      <c r="C30" s="5" t="inlineStr">
        <is>
          <t>KPI ROAS 하한</t>
        </is>
      </c>
      <c r="D30" s="5" t="inlineStr">
        <is>
          <t>목표 매출 (계획×하한)</t>
        </is>
      </c>
      <c r="E30" s="5" t="inlineStr">
        <is>
          <t>28일 광고비</t>
        </is>
      </c>
      <c r="F30" s="5" t="inlineStr">
        <is>
          <t>28일 매출</t>
        </is>
      </c>
      <c r="G30" s="5" t="inlineStr">
        <is>
          <t>28일 ROAS</t>
        </is>
      </c>
      <c r="H30" s="5" t="inlineStr">
        <is>
          <t>ROAS 달성률</t>
        </is>
      </c>
      <c r="I30" s="5" t="inlineStr">
        <is>
          <t>판정</t>
        </is>
      </c>
    </row>
    <row r="31">
      <c r="A31" s="6" t="inlineStr">
        <is>
          <t>아넬라</t>
        </is>
      </c>
      <c r="B31" s="22">
        <f>B13</f>
        <v/>
      </c>
      <c r="C31" s="9">
        <f>'가정'!B42</f>
        <v/>
      </c>
      <c r="D31" s="22">
        <f>B31*C31</f>
        <v/>
      </c>
      <c r="E31" s="22">
        <f>D13</f>
        <v/>
      </c>
      <c r="F31" s="22">
        <f>L13</f>
        <v/>
      </c>
      <c r="G31" s="8">
        <f>IF(E31=0,0,F31/E31)</f>
        <v/>
      </c>
      <c r="H31" s="8">
        <f>IF(C31=0,0,G31/C31)</f>
        <v/>
      </c>
      <c r="I31" s="10">
        <f>IF(H31&gt;=1,"달성",IF(H31&gt;='가정'!$B$12,"근접","미달"))</f>
        <v/>
      </c>
    </row>
    <row r="32">
      <c r="A32" s="6" t="inlineStr">
        <is>
          <t>로지오가닉</t>
        </is>
      </c>
      <c r="B32" s="22">
        <f>B25</f>
        <v/>
      </c>
      <c r="C32" s="9">
        <f>'가정'!C42</f>
        <v/>
      </c>
      <c r="D32" s="22">
        <f>B32*C32</f>
        <v/>
      </c>
      <c r="E32" s="22">
        <f>D25</f>
        <v/>
      </c>
      <c r="F32" s="22">
        <f>L25</f>
        <v/>
      </c>
      <c r="G32" s="8">
        <f>IF(E32=0,0,F32/E32)</f>
        <v/>
      </c>
      <c r="H32" s="8">
        <f>IF(C32=0,0,G32/C32)</f>
        <v/>
      </c>
      <c r="I32" s="10">
        <f>IF(H32&gt;=1,"달성",IF(H32&gt;='가정'!$B$12,"근접","미달"))</f>
        <v/>
      </c>
    </row>
    <row r="33">
      <c r="A33" s="11" t="inlineStr">
        <is>
          <t>합계</t>
        </is>
      </c>
      <c r="B33" s="26">
        <f>B31+B32</f>
        <v/>
      </c>
      <c r="C33" s="13">
        <f>IF(B33=0,0,D33/B33)</f>
        <v/>
      </c>
      <c r="D33" s="26">
        <f>D31+D32</f>
        <v/>
      </c>
      <c r="E33" s="26">
        <f>E31+E32</f>
        <v/>
      </c>
      <c r="F33" s="26">
        <f>F31+F32</f>
        <v/>
      </c>
      <c r="G33" s="13">
        <f>IF(E33=0,0,F33/E33)</f>
        <v/>
      </c>
      <c r="H33" s="13">
        <f>IF(C33=0,0,G33/C33)</f>
        <v/>
      </c>
      <c r="I33" s="14">
        <f>IF(H33&gt;=1,"달성",IF(H33&gt;='가정'!$B$12,"근접","미달"))</f>
        <v/>
      </c>
    </row>
    <row r="34" ht="28" customHeight="1">
      <c r="A34" s="2" t="inlineStr">
        <is>
          <t>월 광고비 계획 = 10월 예산 합계 + 브랜드검색 정액(31일분). 합계 행의 ROAS 하한은 브랜드별 목표 매출을 계획 광고비로 가중한 값입니다.</t>
        </is>
      </c>
    </row>
    <row r="36">
      <c r="A36" s="3" t="inlineStr">
        <is>
          <t>② 월말 예상 (10/29~31은 10/26~28 일평균이 이어진다고 가정)</t>
        </is>
      </c>
    </row>
    <row r="37" ht="44" customHeight="1">
      <c r="A37" s="5" t="inlineStr">
        <is>
          <t>브랜드</t>
        </is>
      </c>
      <c r="B37" s="5" t="inlineStr">
        <is>
          <t>월말 예상 광고비</t>
        </is>
      </c>
      <c r="C37" s="5" t="inlineStr">
        <is>
          <t>월말 예상 매출</t>
        </is>
      </c>
      <c r="D37" s="5" t="inlineStr">
        <is>
          <t>예상 ROAS</t>
        </is>
      </c>
      <c r="E37" s="5" t="inlineStr">
        <is>
          <t>예상 ROAS 달성률</t>
        </is>
      </c>
      <c r="F37" s="5" t="inlineStr">
        <is>
          <t>예상 매출 ÷ 목표 매출</t>
        </is>
      </c>
      <c r="G37" s="5" t="inlineStr">
        <is>
          <t>예산 소진율 (예상 광고비÷계획)</t>
        </is>
      </c>
      <c r="H37" s="5" t="inlineStr">
        <is>
          <t>월말 예상 구매(건)</t>
        </is>
      </c>
      <c r="I37" s="5" t="inlineStr">
        <is>
          <t>KPI 광고 기준 목표 주문(건)</t>
        </is>
      </c>
      <c r="J37" s="5" t="inlineStr">
        <is>
          <t>주문 달성률</t>
        </is>
      </c>
      <c r="K37" s="5" t="inlineStr">
        <is>
          <t>판정 (예상 ROAS 기준)</t>
        </is>
      </c>
    </row>
    <row r="38">
      <c r="A38" s="6" t="inlineStr">
        <is>
          <t>아넬라</t>
        </is>
      </c>
      <c r="B38" s="22">
        <f>E31+'주차별_추이'!F15*'가정'!$B$9/10000</f>
        <v/>
      </c>
      <c r="C38" s="22">
        <f>F31+'주차별_추이'!F16*'가정'!$B$9/10000</f>
        <v/>
      </c>
      <c r="D38" s="8">
        <f>IF(B38=0,0,C38/B38)</f>
        <v/>
      </c>
      <c r="E38" s="8">
        <f>IF(C31=0,0,D38/C31)</f>
        <v/>
      </c>
      <c r="F38" s="9">
        <f>IF(D31=0,0,C38/D31)</f>
        <v/>
      </c>
      <c r="G38" s="9">
        <f>IF(B31=0,0,B38/B31)</f>
        <v/>
      </c>
      <c r="H38" s="7">
        <f>J13+'주차별_추이'!F12/'주차별_추이'!F8*'가정'!$B$9</f>
        <v/>
      </c>
      <c r="I38" s="7">
        <f>'가정'!B43</f>
        <v/>
      </c>
      <c r="J38" s="9">
        <f>IF(I38=0,0,H38/I38)</f>
        <v/>
      </c>
      <c r="K38" s="10">
        <f>IF(E38&gt;=1,"달성",IF(E38&gt;='가정'!$B$12,"근접","미달"))</f>
        <v/>
      </c>
    </row>
    <row r="39">
      <c r="A39" s="6" t="inlineStr">
        <is>
          <t>로지오가닉</t>
        </is>
      </c>
      <c r="B39" s="22">
        <f>E32+'주차별_추이'!F36*'가정'!$B$9/10000</f>
        <v/>
      </c>
      <c r="C39" s="22">
        <f>F32+'주차별_추이'!F37*'가정'!$B$9/10000</f>
        <v/>
      </c>
      <c r="D39" s="8">
        <f>IF(B39=0,0,C39/B39)</f>
        <v/>
      </c>
      <c r="E39" s="8">
        <f>IF(C32=0,0,D39/C32)</f>
        <v/>
      </c>
      <c r="F39" s="9">
        <f>IF(D32=0,0,C39/D32)</f>
        <v/>
      </c>
      <c r="G39" s="9">
        <f>IF(B32=0,0,B39/B32)</f>
        <v/>
      </c>
      <c r="H39" s="7">
        <f>J25+'주차별_추이'!F33/'주차별_추이'!F29*'가정'!$B$9</f>
        <v/>
      </c>
      <c r="I39" s="7">
        <f>'가정'!C43</f>
        <v/>
      </c>
      <c r="J39" s="9">
        <f>IF(I39=0,0,H39/I39)</f>
        <v/>
      </c>
      <c r="K39" s="10">
        <f>IF(E39&gt;=1,"달성",IF(E39&gt;='가정'!$B$12,"근접","미달"))</f>
        <v/>
      </c>
    </row>
    <row r="40">
      <c r="A40" s="11" t="inlineStr">
        <is>
          <t>합계</t>
        </is>
      </c>
      <c r="B40" s="26">
        <f>B38+B39</f>
        <v/>
      </c>
      <c r="C40" s="26">
        <f>C38+C39</f>
        <v/>
      </c>
      <c r="D40" s="13">
        <f>IF(B40=0,0,C40/B40)</f>
        <v/>
      </c>
      <c r="E40" s="13">
        <f>IF(C33=0,0,D40/C33)</f>
        <v/>
      </c>
      <c r="F40" s="13">
        <f>IF(D33=0,0,C40/D33)</f>
        <v/>
      </c>
      <c r="G40" s="13">
        <f>IF(B33=0,0,B40/B33)</f>
        <v/>
      </c>
      <c r="H40" s="12">
        <f>H38+H39</f>
        <v/>
      </c>
      <c r="I40" s="12">
        <f>I38+I39</f>
        <v/>
      </c>
      <c r="J40" s="13">
        <f>IF(I40=0,0,H40/I40)</f>
        <v/>
      </c>
      <c r="K40" s="14">
        <f>IF(E40&gt;=1,"달성",IF(E40&gt;='가정'!$B$12,"근접","미달"))</f>
        <v/>
      </c>
    </row>
    <row r="41" ht="28" customHeight="1">
      <c r="A41" s="2" t="inlineStr">
        <is>
          <t>월말 예상 광고비·매출 = 28일 누계 + 10/26~28 일평균 × 잔여일수. 10/26~28이 넾다세일 구간이라 상시 구간보다 높게 잡힐 수 있습니다. KPI 목표 주문은 4분기 KPI 보고안의 월 환산값입니다.</t>
        </is>
      </c>
    </row>
    <row r="43">
      <c r="A43" s="3" t="inlineStr">
        <is>
          <t>③ 로지오가닉 메타 스스 이상치(10/24~25) 제외 시 (점검 시트 참조)</t>
        </is>
      </c>
    </row>
    <row r="44" ht="24" customHeight="1">
      <c r="A44" s="5" t="inlineStr">
        <is>
          <t>구분</t>
        </is>
      </c>
      <c r="B44" s="5" t="inlineStr">
        <is>
          <t>28일 광고비</t>
        </is>
      </c>
      <c r="C44" s="5" t="inlineStr">
        <is>
          <t>28일 매출</t>
        </is>
      </c>
      <c r="D44" s="5" t="inlineStr">
        <is>
          <t>28일 ROAS</t>
        </is>
      </c>
      <c r="E44" s="5" t="inlineStr">
        <is>
          <t>KPI 하한 대비</t>
        </is>
      </c>
    </row>
    <row r="45">
      <c r="A45" s="15" t="inlineStr">
        <is>
          <t>원본</t>
        </is>
      </c>
      <c r="B45" s="22">
        <f>E32</f>
        <v/>
      </c>
      <c r="C45" s="22">
        <f>F32</f>
        <v/>
      </c>
      <c r="D45" s="8">
        <f>IF(B45=0,0,C45/B45)</f>
        <v/>
      </c>
      <c r="E45" s="8">
        <f>IF(C32=0,0,D45/C32)</f>
        <v/>
      </c>
    </row>
    <row r="46">
      <c r="A46" s="15" t="inlineStr">
        <is>
          <t>보정 (이상치 이틀 제외)</t>
        </is>
      </c>
      <c r="B46" s="22">
        <f>E32-'점검'!D14/10000</f>
        <v/>
      </c>
      <c r="C46" s="22">
        <f>F32-'점검'!E14/10000</f>
        <v/>
      </c>
      <c r="D46" s="8">
        <f>IF(B46=0,0,C46/B46)</f>
        <v/>
      </c>
      <c r="E46" s="8">
        <f>IF(C32=0,0,D46/C32)</f>
        <v/>
      </c>
    </row>
  </sheetData>
  <mergeCells count="4">
    <mergeCell ref="A34:P34"/>
    <mergeCell ref="A27:P27"/>
    <mergeCell ref="A41:P41"/>
    <mergeCell ref="A2:P2"/>
  </mergeCells>
  <conditionalFormatting sqref="I31:I33">
    <cfRule type="expression" priority="1" dxfId="0">
      <formula>I31="달성"</formula>
    </cfRule>
    <cfRule type="expression" priority="2" dxfId="1">
      <formula>I31="근접"</formula>
    </cfRule>
    <cfRule type="expression" priority="3" dxfId="2">
      <formula>I31="미달"</formula>
    </cfRule>
  </conditionalFormatting>
  <conditionalFormatting sqref="K38:K40">
    <cfRule type="expression" priority="4" dxfId="0">
      <formula>K38="달성"</formula>
    </cfRule>
    <cfRule type="expression" priority="5" dxfId="1">
      <formula>K38="근접"</formula>
    </cfRule>
    <cfRule type="expression" priority="6" dxfId="2">
      <formula>K38="미달"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9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0" customWidth="1" min="5" max="5"/>
    <col width="13" customWidth="1" min="6" max="6"/>
    <col width="14" customWidth="1" min="7" max="7"/>
    <col width="13" customWidth="1" min="8" max="8"/>
    <col width="64" customWidth="1" min="9" max="9"/>
  </cols>
  <sheetData>
    <row r="1">
      <c r="A1" s="1" t="inlineStr">
        <is>
          <t>10월·11월 광고 예산 (만원, 네이버 VAT 미포함)</t>
        </is>
      </c>
    </row>
    <row r="2" ht="28" customHeight="1">
      <c r="A2" s="21" t="inlineStr">
        <is>
          <t>예산은 가정 시트의 입력값을 참조합니다. 12월은 11월 유지 가정입니다. 10월 집행은 10/1~10/28(28일) 광고비이고, 일할 대비 소진율은 10월 예산을 28/31로 환산한 값 대비입니다.</t>
        </is>
      </c>
    </row>
    <row r="4">
      <c r="A4" s="3" t="inlineStr">
        <is>
          <t>아넬라</t>
        </is>
      </c>
    </row>
    <row r="5" ht="32" customHeight="1">
      <c r="A5" s="5" t="inlineStr">
        <is>
          <t>매체</t>
        </is>
      </c>
      <c r="B5" s="5" t="inlineStr">
        <is>
          <t>10월 예산</t>
        </is>
      </c>
      <c r="C5" s="5" t="inlineStr">
        <is>
          <t>11월 예산</t>
        </is>
      </c>
      <c r="D5" s="5" t="inlineStr">
        <is>
          <t>증감</t>
        </is>
      </c>
      <c r="E5" s="5" t="inlineStr">
        <is>
          <t>증감률</t>
        </is>
      </c>
      <c r="F5" s="5" t="inlineStr">
        <is>
          <t>12월 (11월 유지)</t>
        </is>
      </c>
      <c r="G5" s="5" t="inlineStr">
        <is>
          <t>10월 집행 (28일)</t>
        </is>
      </c>
      <c r="H5" s="5" t="inlineStr">
        <is>
          <t>일할 대비 소진율</t>
        </is>
      </c>
      <c r="I5" s="5" t="inlineStr">
        <is>
          <t>변경 사유 · 운영 메모</t>
        </is>
      </c>
    </row>
    <row r="6" ht="30" customHeight="1">
      <c r="A6" s="15" t="inlineStr">
        <is>
          <t>파워링크</t>
        </is>
      </c>
      <c r="B6" s="7">
        <f>SUMIFS('가정'!$C$16:$C$27,'가정'!$A$16:$A$27,$A$4,'가정'!$B$16:$B$27,$A6)</f>
        <v/>
      </c>
      <c r="C6" s="7">
        <f>SUMIFS('가정'!$D$16:$D$27,'가정'!$A$16:$A$27,$A$4,'가정'!$B$16:$B$27,$A6)</f>
        <v/>
      </c>
      <c r="D6" s="30">
        <f>C6-B6</f>
        <v/>
      </c>
      <c r="E6" s="31">
        <f>IF(B6=0,0,C6/B6-1)</f>
        <v/>
      </c>
      <c r="F6" s="7">
        <f>SUMIFS('가정'!$E$16:$E$27,'가정'!$A$16:$A$27,$A$4,'가정'!$B$16:$B$27,$A6)</f>
        <v/>
      </c>
      <c r="G6" s="22">
        <f>'10월_실적'!D6</f>
        <v/>
      </c>
      <c r="H6" s="23">
        <f>IF(B6=0,0,G6/(B6*'가정'!$B$7/'가정'!$B$8))</f>
        <v/>
      </c>
      <c r="I6" s="32" t="inlineStr">
        <is>
          <t>변동 없음. 10/14 노출 시간 제한 유지(노출 제외 0~3시, 17~24시), 10/21 저효율 키워드 일예산 감액.</t>
        </is>
      </c>
    </row>
    <row r="7" ht="30" customHeight="1">
      <c r="A7" s="15" t="inlineStr">
        <is>
          <t>쇼핑검색</t>
        </is>
      </c>
      <c r="B7" s="7">
        <f>SUMIFS('가정'!$C$16:$C$27,'가정'!$A$16:$A$27,$A$4,'가정'!$B$16:$B$27,$A7)</f>
        <v/>
      </c>
      <c r="C7" s="7">
        <f>SUMIFS('가정'!$D$16:$D$27,'가정'!$A$16:$A$27,$A$4,'가정'!$B$16:$B$27,$A7)</f>
        <v/>
      </c>
      <c r="D7" s="30">
        <f>C7-B7</f>
        <v/>
      </c>
      <c r="E7" s="31">
        <f>IF(B7=0,0,C7/B7-1)</f>
        <v/>
      </c>
      <c r="F7" s="7">
        <f>SUMIFS('가정'!$E$16:$E$27,'가정'!$A$16:$A$27,$A$4,'가정'!$B$16:$B$27,$A7)</f>
        <v/>
      </c>
      <c r="G7" s="22">
        <f>'10월_실적'!D7</f>
        <v/>
      </c>
      <c r="H7" s="23">
        <f>IF(B7=0,0,G7/(B7*'가정'!$B$7/'가정'!$B$8))</f>
        <v/>
      </c>
      <c r="I7" s="32" t="inlineStr">
        <is>
          <t>변동 없음. 10/26 넾다세일부터 24시간 균등 노출로 원복.</t>
        </is>
      </c>
    </row>
    <row r="8" ht="30" customHeight="1">
      <c r="A8" s="15" t="inlineStr">
        <is>
          <t>GFA 카탈로그</t>
        </is>
      </c>
      <c r="B8" s="7">
        <f>SUMIFS('가정'!$C$16:$C$27,'가정'!$A$16:$A$27,$A$4,'가정'!$B$16:$B$27,$A8)</f>
        <v/>
      </c>
      <c r="C8" s="7">
        <f>SUMIFS('가정'!$D$16:$D$27,'가정'!$A$16:$A$27,$A$4,'가정'!$B$16:$B$27,$A8)</f>
        <v/>
      </c>
      <c r="D8" s="30">
        <f>C8-B8</f>
        <v/>
      </c>
      <c r="E8" s="31">
        <f>IF(B8=0,0,C8/B8-1)</f>
        <v/>
      </c>
      <c r="F8" s="7">
        <f>SUMIFS('가정'!$E$16:$E$27,'가정'!$A$16:$A$27,$A$4,'가정'!$B$16:$B$27,$A8)</f>
        <v/>
      </c>
      <c r="G8" s="22">
        <f>'10월_실적'!D9</f>
        <v/>
      </c>
      <c r="H8" s="23">
        <f>IF(B8=0,0,G8/(B8*'가정'!$B$7/'가정'!$B$8))</f>
        <v/>
      </c>
      <c r="I8" s="32" t="inlineStr">
        <is>
          <t>변동 없음.</t>
        </is>
      </c>
    </row>
    <row r="9" ht="30" customHeight="1">
      <c r="A9" s="15" t="inlineStr">
        <is>
          <t>GFA 전환</t>
        </is>
      </c>
      <c r="B9" s="7">
        <f>SUMIFS('가정'!$C$16:$C$27,'가정'!$A$16:$A$27,$A$4,'가정'!$B$16:$B$27,$A9)</f>
        <v/>
      </c>
      <c r="C9" s="7">
        <f>SUMIFS('가정'!$D$16:$D$27,'가정'!$A$16:$A$27,$A$4,'가정'!$B$16:$B$27,$A9)</f>
        <v/>
      </c>
      <c r="D9" s="30">
        <f>C9-B9</f>
        <v/>
      </c>
      <c r="E9" s="31">
        <f>IF(B9=0,0,C9/B9-1)</f>
        <v/>
      </c>
      <c r="F9" s="7">
        <f>SUMIFS('가정'!$E$16:$E$27,'가정'!$A$16:$A$27,$A$4,'가정'!$B$16:$B$27,$A9)</f>
        <v/>
      </c>
      <c r="G9" s="22">
        <f>'10월_실적'!D10</f>
        <v/>
      </c>
      <c r="H9" s="23">
        <f>IF(B9=0,0,G9/(B9*'가정'!$B$7/'가정'!$B$8))</f>
        <v/>
      </c>
      <c r="I9" s="32" t="inlineStr">
        <is>
          <t>250만원에서 150만원으로 감액. 신규 소구점 5종 테스트가 소재 검토로 HOLD 중.</t>
        </is>
      </c>
    </row>
    <row r="10" ht="30" customHeight="1">
      <c r="A10" s="15" t="inlineStr">
        <is>
          <t>메타 스스</t>
        </is>
      </c>
      <c r="B10" s="7">
        <f>SUMIFS('가정'!$C$16:$C$27,'가정'!$A$16:$A$27,$A$4,'가정'!$B$16:$B$27,$A10)</f>
        <v/>
      </c>
      <c r="C10" s="7">
        <f>SUMIFS('가정'!$D$16:$D$27,'가정'!$A$16:$A$27,$A$4,'가정'!$B$16:$B$27,$A10)</f>
        <v/>
      </c>
      <c r="D10" s="30">
        <f>C10-B10</f>
        <v/>
      </c>
      <c r="E10" s="31">
        <f>IF(B10=0,0,C10/B10-1)</f>
        <v/>
      </c>
      <c r="F10" s="7">
        <f>SUMIFS('가정'!$E$16:$E$27,'가정'!$A$16:$A$27,$A$4,'가정'!$B$16:$B$27,$A10)</f>
        <v/>
      </c>
      <c r="G10" s="22">
        <f>'10월_실적'!D11</f>
        <v/>
      </c>
      <c r="H10" s="23">
        <f>IF(B10=0,0,G10/(B10*'가정'!$B$7/'가정'!$B$8))</f>
        <v/>
      </c>
      <c r="I10" s="32" t="inlineStr">
        <is>
          <t>변동 없음. 넾다세일부터 인스타그램 지면 고정, 광고 상품은 영업팀 주력 상품으로 전환.</t>
        </is>
      </c>
    </row>
    <row r="11" ht="30" customHeight="1">
      <c r="A11" s="15" t="inlineStr">
        <is>
          <t>메타 자사몰</t>
        </is>
      </c>
      <c r="B11" s="7">
        <f>SUMIFS('가정'!$C$16:$C$27,'가정'!$A$16:$A$27,$A$4,'가정'!$B$16:$B$27,$A11)</f>
        <v/>
      </c>
      <c r="C11" s="7">
        <f>SUMIFS('가정'!$D$16:$D$27,'가정'!$A$16:$A$27,$A$4,'가정'!$B$16:$B$27,$A11)</f>
        <v/>
      </c>
      <c r="D11" s="30">
        <f>C11-B11</f>
        <v/>
      </c>
      <c r="E11" s="31">
        <f>IF(B11=0,0,C11/B11-1)</f>
        <v/>
      </c>
      <c r="F11" s="7">
        <f>SUMIFS('가정'!$E$16:$E$27,'가정'!$A$16:$A$27,$A$4,'가정'!$B$16:$B$27,$A11)</f>
        <v/>
      </c>
      <c r="G11" s="22">
        <f>'10월_실적'!D12</f>
        <v/>
      </c>
      <c r="H11" s="23">
        <f>IF(B11=0,0,G11/(B11*'가정'!$B$7/'가정'!$B$8))</f>
        <v/>
      </c>
      <c r="I11" s="32" t="inlineStr">
        <is>
          <t>250만원에서 180만원으로 축소. 웰컴박스·기획전 보류.</t>
        </is>
      </c>
    </row>
    <row r="12">
      <c r="A12" s="11" t="inlineStr">
        <is>
          <t>아넬라 합계</t>
        </is>
      </c>
      <c r="B12" s="12">
        <f>SUM(B6:B11)</f>
        <v/>
      </c>
      <c r="C12" s="12">
        <f>SUM(C6:C11)</f>
        <v/>
      </c>
      <c r="D12" s="33">
        <f>C12-B12</f>
        <v/>
      </c>
      <c r="E12" s="34">
        <f>IF(B12=0,0,C12/B12-1)</f>
        <v/>
      </c>
      <c r="F12" s="12">
        <f>SUM(F6:F11)</f>
        <v/>
      </c>
      <c r="G12" s="26">
        <f>SUM(G6:G11)</f>
        <v/>
      </c>
      <c r="H12" s="27">
        <f>IF(B12=0,0,G12/(B12*'가정'!$B$7/'가정'!$B$8))</f>
        <v/>
      </c>
      <c r="I12" s="35" t="inlineStr"/>
    </row>
    <row r="13">
      <c r="A13" s="36" t="inlineStr">
        <is>
          <t>(참고) 브랜드검색 정액</t>
        </is>
      </c>
      <c r="B13" s="37">
        <f>'가정'!$B$38*'가정'!$B$8/10000</f>
        <v/>
      </c>
      <c r="C13" s="37">
        <f>'가정'!$B$38*'가정'!$B$10/10000</f>
        <v/>
      </c>
      <c r="D13" s="38">
        <f>C13-B13</f>
        <v/>
      </c>
      <c r="E13" s="15" t="inlineStr"/>
      <c r="F13" s="37">
        <f>'가정'!$B$38*'가정'!$B$11/10000</f>
        <v/>
      </c>
      <c r="G13" s="37">
        <f>'10월_실적'!D8</f>
        <v/>
      </c>
      <c r="H13" s="15" t="inlineStr"/>
      <c r="I13" s="39" t="inlineStr">
        <is>
          <t>예산표에는 포함되지 않는 정액 상품입니다(월 88만원을 일수로 안분).</t>
        </is>
      </c>
    </row>
    <row r="15">
      <c r="A15" s="3" t="inlineStr">
        <is>
          <t>로지오가닉</t>
        </is>
      </c>
    </row>
    <row r="16" ht="32" customHeight="1">
      <c r="A16" s="5" t="inlineStr">
        <is>
          <t>매체</t>
        </is>
      </c>
      <c r="B16" s="5" t="inlineStr">
        <is>
          <t>10월 예산</t>
        </is>
      </c>
      <c r="C16" s="5" t="inlineStr">
        <is>
          <t>11월 예산</t>
        </is>
      </c>
      <c r="D16" s="5" t="inlineStr">
        <is>
          <t>증감</t>
        </is>
      </c>
      <c r="E16" s="5" t="inlineStr">
        <is>
          <t>증감률</t>
        </is>
      </c>
      <c r="F16" s="5" t="inlineStr">
        <is>
          <t>12월 (11월 유지)</t>
        </is>
      </c>
      <c r="G16" s="5" t="inlineStr">
        <is>
          <t>10월 집행 (28일)</t>
        </is>
      </c>
      <c r="H16" s="5" t="inlineStr">
        <is>
          <t>일할 대비 소진율</t>
        </is>
      </c>
      <c r="I16" s="5" t="inlineStr">
        <is>
          <t>변경 사유 · 운영 메모</t>
        </is>
      </c>
    </row>
    <row r="17" ht="30" customHeight="1">
      <c r="A17" s="15" t="inlineStr">
        <is>
          <t>파워링크</t>
        </is>
      </c>
      <c r="B17" s="7">
        <f>SUMIFS('가정'!$C$16:$C$27,'가정'!$A$16:$A$27,$A$15,'가정'!$B$16:$B$27,$A17)</f>
        <v/>
      </c>
      <c r="C17" s="7">
        <f>SUMIFS('가정'!$D$16:$D$27,'가정'!$A$16:$A$27,$A$15,'가정'!$B$16:$B$27,$A17)</f>
        <v/>
      </c>
      <c r="D17" s="30">
        <f>C17-B17</f>
        <v/>
      </c>
      <c r="E17" s="31">
        <f>IF(B17=0,0,C17/B17-1)</f>
        <v/>
      </c>
      <c r="F17" s="7">
        <f>SUMIFS('가정'!$E$16:$E$27,'가정'!$A$16:$A$27,$A$15,'가정'!$B$16:$B$27,$A17)</f>
        <v/>
      </c>
      <c r="G17" s="22">
        <f>'10월_실적'!D18</f>
        <v/>
      </c>
      <c r="H17" s="23">
        <f>IF(B17=0,0,G17/(B17*'가정'!$B$7/'가정'!$B$8))</f>
        <v/>
      </c>
      <c r="I17" s="32" t="inlineStr">
        <is>
          <t>변동 없음. 10/21 저효율 키워드 일예산 감액.</t>
        </is>
      </c>
    </row>
    <row r="18" ht="30" customHeight="1">
      <c r="A18" s="15" t="inlineStr">
        <is>
          <t>쇼핑검색</t>
        </is>
      </c>
      <c r="B18" s="7">
        <f>SUMIFS('가정'!$C$16:$C$27,'가정'!$A$16:$A$27,$A$15,'가정'!$B$16:$B$27,$A18)</f>
        <v/>
      </c>
      <c r="C18" s="7">
        <f>SUMIFS('가정'!$D$16:$D$27,'가정'!$A$16:$A$27,$A$15,'가정'!$B$16:$B$27,$A18)</f>
        <v/>
      </c>
      <c r="D18" s="30">
        <f>C18-B18</f>
        <v/>
      </c>
      <c r="E18" s="31">
        <f>IF(B18=0,0,C18/B18-1)</f>
        <v/>
      </c>
      <c r="F18" s="7">
        <f>SUMIFS('가정'!$E$16:$E$27,'가정'!$A$16:$A$27,$A$15,'가정'!$B$16:$B$27,$A18)</f>
        <v/>
      </c>
      <c r="G18" s="22">
        <f>'10월_실적'!D19</f>
        <v/>
      </c>
      <c r="H18" s="23">
        <f>IF(B18=0,0,G18/(B18*'가정'!$B$7/'가정'!$B$8))</f>
        <v/>
      </c>
      <c r="I18" s="32" t="inlineStr">
        <is>
          <t>변동 없음. 10/26 무전환 지면 노출 제외.</t>
        </is>
      </c>
    </row>
    <row r="19" ht="30" customHeight="1">
      <c r="A19" s="15" t="inlineStr">
        <is>
          <t>GFA 카탈로그</t>
        </is>
      </c>
      <c r="B19" s="7">
        <f>SUMIFS('가정'!$C$16:$C$27,'가정'!$A$16:$A$27,$A$15,'가정'!$B$16:$B$27,$A19)</f>
        <v/>
      </c>
      <c r="C19" s="7">
        <f>SUMIFS('가정'!$D$16:$D$27,'가정'!$A$16:$A$27,$A$15,'가정'!$B$16:$B$27,$A19)</f>
        <v/>
      </c>
      <c r="D19" s="30">
        <f>C19-B19</f>
        <v/>
      </c>
      <c r="E19" s="31">
        <f>IF(B19=0,0,C19/B19-1)</f>
        <v/>
      </c>
      <c r="F19" s="7">
        <f>SUMIFS('가정'!$E$16:$E$27,'가정'!$A$16:$A$27,$A$15,'가정'!$B$16:$B$27,$A19)</f>
        <v/>
      </c>
      <c r="G19" s="22">
        <f>'10월_실적'!D21</f>
        <v/>
      </c>
      <c r="H19" s="23">
        <f>IF(B19=0,0,G19/(B19*'가정'!$B$7/'가정'!$B$8))</f>
        <v/>
      </c>
      <c r="I19" s="32" t="inlineStr">
        <is>
          <t>변동 없음.</t>
        </is>
      </c>
    </row>
    <row r="20" ht="30" customHeight="1">
      <c r="A20" s="15" t="inlineStr">
        <is>
          <t>GFA 전환</t>
        </is>
      </c>
      <c r="B20" s="7">
        <f>SUMIFS('가정'!$C$16:$C$27,'가정'!$A$16:$A$27,$A$15,'가정'!$B$16:$B$27,$A20)</f>
        <v/>
      </c>
      <c r="C20" s="7">
        <f>SUMIFS('가정'!$D$16:$D$27,'가정'!$A$16:$A$27,$A$15,'가정'!$B$16:$B$27,$A20)</f>
        <v/>
      </c>
      <c r="D20" s="30">
        <f>C20-B20</f>
        <v/>
      </c>
      <c r="E20" s="31">
        <f>IF(B20=0,0,C20/B20-1)</f>
        <v/>
      </c>
      <c r="F20" s="7">
        <f>SUMIFS('가정'!$E$16:$E$27,'가정'!$A$16:$A$27,$A$15,'가정'!$B$16:$B$27,$A20)</f>
        <v/>
      </c>
      <c r="G20" s="22">
        <f>'10월_실적'!D22</f>
        <v/>
      </c>
      <c r="H20" s="23">
        <f>IF(B20=0,0,G20/(B20*'가정'!$B$7/'가정'!$B$8))</f>
        <v/>
      </c>
      <c r="I20" s="32" t="inlineStr">
        <is>
          <t>11월 신설 20만원, 넾다세일 한정. 12월은 11월 유지 가정이라 같은 값이 들어가 있어 사용처 확정 필요.</t>
        </is>
      </c>
    </row>
    <row r="21" ht="30" customHeight="1">
      <c r="A21" s="15" t="inlineStr">
        <is>
          <t>메타 스스</t>
        </is>
      </c>
      <c r="B21" s="7">
        <f>SUMIFS('가정'!$C$16:$C$27,'가정'!$A$16:$A$27,$A$15,'가정'!$B$16:$B$27,$A21)</f>
        <v/>
      </c>
      <c r="C21" s="7">
        <f>SUMIFS('가정'!$D$16:$D$27,'가정'!$A$16:$A$27,$A$15,'가정'!$B$16:$B$27,$A21)</f>
        <v/>
      </c>
      <c r="D21" s="30">
        <f>C21-B21</f>
        <v/>
      </c>
      <c r="E21" s="31">
        <f>IF(B21=0,0,C21/B21-1)</f>
        <v/>
      </c>
      <c r="F21" s="7">
        <f>SUMIFS('가정'!$E$16:$E$27,'가정'!$A$16:$A$27,$A$15,'가정'!$B$16:$B$27,$A21)</f>
        <v/>
      </c>
      <c r="G21" s="22">
        <f>'10월_실적'!D23</f>
        <v/>
      </c>
      <c r="H21" s="23">
        <f>IF(B21=0,0,G21/(B21*'가정'!$B$7/'가정'!$B$8))</f>
        <v/>
      </c>
      <c r="I21" s="32" t="inlineStr">
        <is>
          <t>250만원에서 215만원으로 약간 감액. 넾다세일 영향.</t>
        </is>
      </c>
    </row>
    <row r="22" ht="30" customHeight="1">
      <c r="A22" s="15" t="inlineStr">
        <is>
          <t>메타 자사몰</t>
        </is>
      </c>
      <c r="B22" s="7">
        <f>SUMIFS('가정'!$C$16:$C$27,'가정'!$A$16:$A$27,$A$15,'가정'!$B$16:$B$27,$A22)</f>
        <v/>
      </c>
      <c r="C22" s="7">
        <f>SUMIFS('가정'!$D$16:$D$27,'가정'!$A$16:$A$27,$A$15,'가정'!$B$16:$B$27,$A22)</f>
        <v/>
      </c>
      <c r="D22" s="30">
        <f>C22-B22</f>
        <v/>
      </c>
      <c r="E22" s="31">
        <f>IF(B22=0,0,C22/B22-1)</f>
        <v/>
      </c>
      <c r="F22" s="7">
        <f>SUMIFS('가정'!$E$16:$E$27,'가정'!$A$16:$A$27,$A$15,'가정'!$B$16:$B$27,$A22)</f>
        <v/>
      </c>
      <c r="G22" s="22">
        <f>'10월_실적'!D24</f>
        <v/>
      </c>
      <c r="H22" s="23">
        <f>IF(B22=0,0,G22/(B22*'가정'!$B$7/'가정'!$B$8))</f>
        <v/>
      </c>
      <c r="I22" s="32" t="inlineStr">
        <is>
          <t>180만원에서 150만원으로 감액. 보리차 시크릿링크 보류.</t>
        </is>
      </c>
    </row>
    <row r="23">
      <c r="A23" s="11" t="inlineStr">
        <is>
          <t>로지오가닉 합계</t>
        </is>
      </c>
      <c r="B23" s="12">
        <f>SUM(B17:B22)</f>
        <v/>
      </c>
      <c r="C23" s="12">
        <f>SUM(C17:C22)</f>
        <v/>
      </c>
      <c r="D23" s="33">
        <f>C23-B23</f>
        <v/>
      </c>
      <c r="E23" s="34">
        <f>IF(B23=0,0,C23/B23-1)</f>
        <v/>
      </c>
      <c r="F23" s="12">
        <f>SUM(F17:F22)</f>
        <v/>
      </c>
      <c r="G23" s="26">
        <f>SUM(G17:G22)</f>
        <v/>
      </c>
      <c r="H23" s="27">
        <f>IF(B23=0,0,G23/(B23*'가정'!$B$7/'가정'!$B$8))</f>
        <v/>
      </c>
      <c r="I23" s="35" t="inlineStr"/>
    </row>
    <row r="24">
      <c r="A24" s="36" t="inlineStr">
        <is>
          <t>(참고) 브랜드검색 정액</t>
        </is>
      </c>
      <c r="B24" s="37">
        <f>'가정'!$B$38*'가정'!$B$8/10000</f>
        <v/>
      </c>
      <c r="C24" s="37">
        <f>'가정'!$B$38*'가정'!$B$10/10000</f>
        <v/>
      </c>
      <c r="D24" s="38">
        <f>C24-B24</f>
        <v/>
      </c>
      <c r="E24" s="15" t="inlineStr"/>
      <c r="F24" s="37">
        <f>'가정'!$B$38*'가정'!$B$11/10000</f>
        <v/>
      </c>
      <c r="G24" s="37">
        <f>'10월_실적'!D20</f>
        <v/>
      </c>
      <c r="H24" s="15" t="inlineStr"/>
      <c r="I24" s="39" t="inlineStr">
        <is>
          <t>예산표에는 포함되지 않는 정액 상품입니다(월 88만원을 일수로 안분).</t>
        </is>
      </c>
    </row>
    <row r="26">
      <c r="A26" s="11" t="inlineStr">
        <is>
          <t>전체 합계</t>
        </is>
      </c>
      <c r="B26" s="12">
        <f>B12+B23</f>
        <v/>
      </c>
      <c r="C26" s="12">
        <f>C12+C23</f>
        <v/>
      </c>
      <c r="D26" s="33">
        <f>C26-B26</f>
        <v/>
      </c>
      <c r="E26" s="34">
        <f>IF(B26=0,0,C26/B26-1)</f>
        <v/>
      </c>
      <c r="F26" s="12">
        <f>F12+F23</f>
        <v/>
      </c>
      <c r="G26" s="26">
        <f>G12+G23</f>
        <v/>
      </c>
      <c r="H26" s="27">
        <f>IF(B26=0,0,G26/(B26*'가정'!$B$7/'가정'!$B$8))</f>
        <v/>
      </c>
      <c r="I26" s="35" t="inlineStr"/>
    </row>
    <row r="27">
      <c r="A27" s="36" t="inlineStr">
        <is>
          <t>검증: 제시 합계와 차이(0이면 일치)</t>
        </is>
      </c>
      <c r="B27" s="40">
        <f>'가정'!C34</f>
        <v/>
      </c>
      <c r="C27" s="40">
        <f>'가정'!D34</f>
        <v/>
      </c>
    </row>
    <row r="29">
      <c r="A29" s="3" t="inlineStr">
        <is>
          <t>4분기 KPI 보고안 광고예산과 비교 (브랜드검색 정액 포함 기준)</t>
        </is>
      </c>
    </row>
    <row r="30" ht="32" customHeight="1">
      <c r="A30" s="5" t="inlineStr">
        <is>
          <t>브랜드</t>
        </is>
      </c>
      <c r="B30" s="5" t="inlineStr">
        <is>
          <t>KPI안 10월</t>
        </is>
      </c>
      <c r="C30" s="5" t="inlineStr">
        <is>
          <t>실행 10월</t>
        </is>
      </c>
      <c r="D30" s="5" t="inlineStr">
        <is>
          <t>차이</t>
        </is>
      </c>
      <c r="E30" s="5" t="inlineStr"/>
      <c r="F30" s="5" t="inlineStr">
        <is>
          <t>KPI안 11월</t>
        </is>
      </c>
      <c r="G30" s="5" t="inlineStr">
        <is>
          <t>실행 11월</t>
        </is>
      </c>
      <c r="H30" s="5" t="inlineStr">
        <is>
          <t>차이</t>
        </is>
      </c>
      <c r="I30" s="5" t="inlineStr">
        <is>
          <t>KPI안 12월 / 실행 12월 / 차이</t>
        </is>
      </c>
    </row>
    <row r="31">
      <c r="A31" s="6" t="inlineStr">
        <is>
          <t>아넬라</t>
        </is>
      </c>
      <c r="B31" s="7">
        <f>'가정'!B44</f>
        <v/>
      </c>
      <c r="C31" s="22">
        <f>B12+B13</f>
        <v/>
      </c>
      <c r="D31" s="41">
        <f>C31-B31</f>
        <v/>
      </c>
      <c r="E31" s="15" t="inlineStr"/>
      <c r="F31" s="7">
        <f>'가정'!B45</f>
        <v/>
      </c>
      <c r="G31" s="22">
        <f>C12+C13</f>
        <v/>
      </c>
      <c r="H31" s="41">
        <f>G31-F31</f>
        <v/>
      </c>
      <c r="I31" s="32">
        <f>TEXT('가정'!B46,"#,##0")&amp;" / "&amp;TEXT(F12+F13,"#,##0.0")&amp;" / "&amp;TEXT(F12+F13-'가정'!B46,"+#,##0.0;-#,##0.0;0.0")</f>
        <v/>
      </c>
    </row>
    <row r="32">
      <c r="A32" s="6" t="inlineStr">
        <is>
          <t>로지오가닉</t>
        </is>
      </c>
      <c r="B32" s="7">
        <f>'가정'!C44</f>
        <v/>
      </c>
      <c r="C32" s="22">
        <f>B23+B24</f>
        <v/>
      </c>
      <c r="D32" s="41">
        <f>C32-B32</f>
        <v/>
      </c>
      <c r="E32" s="15" t="inlineStr"/>
      <c r="F32" s="7">
        <f>'가정'!C45</f>
        <v/>
      </c>
      <c r="G32" s="22">
        <f>C23+C24</f>
        <v/>
      </c>
      <c r="H32" s="41">
        <f>G32-F32</f>
        <v/>
      </c>
      <c r="I32" s="32">
        <f>TEXT('가정'!C46,"#,##0")&amp;" / "&amp;TEXT(F23+F24,"#,##0.0")&amp;" / "&amp;TEXT(F23+F24-'가정'!C46,"+#,##0.0;-#,##0.0;0.0")</f>
        <v/>
      </c>
    </row>
    <row r="33">
      <c r="A33" s="21" t="inlineStr">
        <is>
          <t>KPI안의 10월 예산(1,300 / 900)은 실행 예산에 브랜드검색 정액을 더한 값과 거의 일치합니다. 아넬라 11~12월은 KPI안보다 낮고, 로지오가닉은 KPI안보다 높게 편성돼 있습니다.</t>
        </is>
      </c>
    </row>
    <row r="35">
      <c r="A35" s="3" t="inlineStr">
        <is>
          <t>운영 메모 (사용자 전달 사항)</t>
        </is>
      </c>
    </row>
    <row r="36">
      <c r="A36" s="4" t="inlineStr">
        <is>
          <t>· 넾다세일(10/26~11/8, 아넬라·로지 모두)부터 메타는 인스타그램 지면만 고정으로 운영합니다.</t>
        </is>
      </c>
    </row>
    <row r="37">
      <c r="A37" s="4" t="inlineStr">
        <is>
          <t>· 10월 중순부터 효율이 낮은 키워드·지면은 OFF 또는 감액 중입니다.</t>
        </is>
      </c>
    </row>
    <row r="38">
      <c r="A38" s="4" t="inlineStr">
        <is>
          <t>· 넾다세일부터 메타 광고 상품은 상시 상품(아넬라 퓨레 6+6, 로지 쌀과자 8봉)이 아니라 영업팀 주력 상품으로 운영합니다.</t>
        </is>
      </c>
    </row>
    <row r="39">
      <c r="A39" s="4" t="inlineStr">
        <is>
          <t>· 12월 예산은 11월 예산을 유지하는 것으로 보고 있습니다. 블랙프라이데이 등 행사 일정이 정해지면 조정합니다.</t>
        </is>
      </c>
    </row>
  </sheetData>
  <mergeCells count="6">
    <mergeCell ref="A33:I33"/>
    <mergeCell ref="A2:I2"/>
    <mergeCell ref="A37:I37"/>
    <mergeCell ref="A36:I36"/>
    <mergeCell ref="A39:I39"/>
    <mergeCell ref="A38:I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O3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9" customWidth="1" min="10" max="10"/>
    <col width="11" customWidth="1" min="11" max="11"/>
    <col width="9" customWidth="1" min="12" max="12"/>
    <col width="12" customWidth="1" min="13" max="13"/>
    <col width="11" customWidth="1" min="14" max="14"/>
    <col width="11" customWidth="1" min="15" max="15"/>
  </cols>
  <sheetData>
    <row r="1">
      <c r="A1" s="1" t="inlineStr">
        <is>
          <t>10월 예산 대비 집행 광고비·매출 (매체별)</t>
        </is>
      </c>
    </row>
    <row r="2" ht="28" customHeight="1">
      <c r="A2" s="21" t="inlineStr">
        <is>
          <t>금액은 만원(네이버 VAT 미포함). 집행·매출은 10/1~10/28(28일) 실적이고, 월말 예상은 28일 누계에 10/26~28 일평균 × 잔여일수를 더한 값입니다. 매출은 매체가 보고한 구매 귀속 매출입니다.</t>
        </is>
      </c>
    </row>
    <row r="3">
      <c r="A3" s="42" t="inlineStr">
        <is>
          <t>소진 판정 기준 (입력)</t>
        </is>
      </c>
      <c r="B3" s="43" t="n">
        <v>1.05</v>
      </c>
      <c r="C3" s="21" t="inlineStr">
        <is>
          <t>초과 이상</t>
        </is>
      </c>
      <c r="D3" s="43" t="n">
        <v>0.8</v>
      </c>
      <c r="E3" s="21" t="inlineStr">
        <is>
          <t>미소진 미만 (월말 예상 소진율 기준)</t>
        </is>
      </c>
    </row>
    <row r="5">
      <c r="A5" s="3" t="inlineStr">
        <is>
          <t>아넬라</t>
        </is>
      </c>
    </row>
    <row r="6" ht="44" customHeight="1">
      <c r="A6" s="5" t="inlineStr">
        <is>
          <t>매체</t>
        </is>
      </c>
      <c r="B6" s="5" t="inlineStr">
        <is>
          <t>월 예산</t>
        </is>
      </c>
      <c r="C6" s="5" t="inlineStr">
        <is>
          <t>일할 예산 (28일)</t>
        </is>
      </c>
      <c r="D6" s="5" t="inlineStr">
        <is>
          <t>집행 광고비</t>
        </is>
      </c>
      <c r="E6" s="5" t="inlineStr">
        <is>
          <t>일할 대비 소진율</t>
        </is>
      </c>
      <c r="F6" s="5" t="inlineStr">
        <is>
          <t>월 예산 대비 소진율</t>
        </is>
      </c>
      <c r="G6" s="5" t="inlineStr">
        <is>
          <t>잔여 예산</t>
        </is>
      </c>
      <c r="H6" s="5" t="inlineStr">
        <is>
          <t>월말 예상 광고비</t>
        </is>
      </c>
      <c r="I6" s="5" t="inlineStr">
        <is>
          <t>월말 예상 소진율</t>
        </is>
      </c>
      <c r="J6" s="5" t="inlineStr">
        <is>
          <t>구매 (건)</t>
        </is>
      </c>
      <c r="K6" s="5" t="inlineStr">
        <is>
          <t>매출</t>
        </is>
      </c>
      <c r="L6" s="5" t="inlineStr">
        <is>
          <t>ROAS</t>
        </is>
      </c>
      <c r="M6" s="5" t="inlineStr">
        <is>
          <t>월말 예상 매출</t>
        </is>
      </c>
      <c r="N6" s="5" t="inlineStr">
        <is>
          <t>예상 매출 ÷ 월 예산</t>
        </is>
      </c>
      <c r="O6" s="5" t="inlineStr">
        <is>
          <t>소진 판정</t>
        </is>
      </c>
    </row>
    <row r="7">
      <c r="A7" s="15" t="inlineStr">
        <is>
          <t>파워링크</t>
        </is>
      </c>
      <c r="B7" s="22">
        <f>SUMIFS('가정'!$C$16:$C$27,'가정'!$A$16:$A$27,$A$5,'가정'!$B$16:$B$27,$A7)</f>
        <v/>
      </c>
      <c r="C7" s="22">
        <f>B7*'가정'!$B$7/'가정'!$B$8</f>
        <v/>
      </c>
      <c r="D7" s="22">
        <f>SUMIFS('데이터_광고'!$E$2:$E$500,'데이터_광고'!$A$2:$A$500,$A$5,'데이터_광고'!$B$2:$B$500,$A7)/10000</f>
        <v/>
      </c>
      <c r="E7" s="23">
        <f>IF(C7=0,0,D7/C7)</f>
        <v/>
      </c>
      <c r="F7" s="23">
        <f>IF(B7=0,0,D7/B7)</f>
        <v/>
      </c>
      <c r="G7" s="44">
        <f>B7-D7</f>
        <v/>
      </c>
      <c r="H7" s="22">
        <f>D7+SUMIFS('데이터_광고'!$E$2:$E$500,'데이터_광고'!$A$2:$A$500,$A$5,'데이터_광고'!$B$2:$B$500,$A7,'데이터_광고'!$D$2:$D$500,'가정'!$A$54)/10000/'가정'!$D$54*'가정'!$B$9</f>
        <v/>
      </c>
      <c r="I7" s="23">
        <f>IF(B7=0,0,H7/B7)</f>
        <v/>
      </c>
      <c r="J7" s="7">
        <f>SUMIFS('데이터_광고'!$H$2:$H$500,'데이터_광고'!$A$2:$A$500,$A$5,'데이터_광고'!$B$2:$B$500,$A7)</f>
        <v/>
      </c>
      <c r="K7" s="22">
        <f>SUMIFS('데이터_광고'!$I$2:$I$500,'데이터_광고'!$A$2:$A$500,$A$5,'데이터_광고'!$B$2:$B$500,$A7)/10000</f>
        <v/>
      </c>
      <c r="L7" s="8">
        <f>IF(D7=0,0,K7/D7)</f>
        <v/>
      </c>
      <c r="M7" s="22">
        <f>K7+SUMIFS('데이터_광고'!$I$2:$I$500,'데이터_광고'!$A$2:$A$500,$A$5,'데이터_광고'!$B$2:$B$500,$A7,'데이터_광고'!$D$2:$D$500,'가정'!$A$54)/10000/'가정'!$D$54*'가정'!$B$9</f>
        <v/>
      </c>
      <c r="N7" s="45">
        <f>IF(B7=0,0,M7/B7)</f>
        <v/>
      </c>
      <c r="O7" s="10">
        <f>IF(B7=0,"예산 없음",IF(I7&gt;=$B$3,"초과",IF(I7&lt;$D$3,"미소진","적정")))</f>
        <v/>
      </c>
    </row>
    <row r="8">
      <c r="A8" s="15" t="inlineStr">
        <is>
          <t>쇼핑검색</t>
        </is>
      </c>
      <c r="B8" s="22">
        <f>SUMIFS('가정'!$C$16:$C$27,'가정'!$A$16:$A$27,$A$5,'가정'!$B$16:$B$27,$A8)</f>
        <v/>
      </c>
      <c r="C8" s="22">
        <f>B8*'가정'!$B$7/'가정'!$B$8</f>
        <v/>
      </c>
      <c r="D8" s="22">
        <f>SUMIFS('데이터_광고'!$E$2:$E$500,'데이터_광고'!$A$2:$A$500,$A$5,'데이터_광고'!$B$2:$B$500,$A8)/10000</f>
        <v/>
      </c>
      <c r="E8" s="23">
        <f>IF(C8=0,0,D8/C8)</f>
        <v/>
      </c>
      <c r="F8" s="23">
        <f>IF(B8=0,0,D8/B8)</f>
        <v/>
      </c>
      <c r="G8" s="44">
        <f>B8-D8</f>
        <v/>
      </c>
      <c r="H8" s="22">
        <f>D8+SUMIFS('데이터_광고'!$E$2:$E$500,'데이터_광고'!$A$2:$A$500,$A$5,'데이터_광고'!$B$2:$B$500,$A8,'데이터_광고'!$D$2:$D$500,'가정'!$A$54)/10000/'가정'!$D$54*'가정'!$B$9</f>
        <v/>
      </c>
      <c r="I8" s="23">
        <f>IF(B8=0,0,H8/B8)</f>
        <v/>
      </c>
      <c r="J8" s="7">
        <f>SUMIFS('데이터_광고'!$H$2:$H$500,'데이터_광고'!$A$2:$A$500,$A$5,'데이터_광고'!$B$2:$B$500,$A8)</f>
        <v/>
      </c>
      <c r="K8" s="22">
        <f>SUMIFS('데이터_광고'!$I$2:$I$500,'데이터_광고'!$A$2:$A$500,$A$5,'데이터_광고'!$B$2:$B$500,$A8)/10000</f>
        <v/>
      </c>
      <c r="L8" s="8">
        <f>IF(D8=0,0,K8/D8)</f>
        <v/>
      </c>
      <c r="M8" s="22">
        <f>K8+SUMIFS('데이터_광고'!$I$2:$I$500,'데이터_광고'!$A$2:$A$500,$A$5,'데이터_광고'!$B$2:$B$500,$A8,'데이터_광고'!$D$2:$D$500,'가정'!$A$54)/10000/'가정'!$D$54*'가정'!$B$9</f>
        <v/>
      </c>
      <c r="N8" s="45">
        <f>IF(B8=0,0,M8/B8)</f>
        <v/>
      </c>
      <c r="O8" s="10">
        <f>IF(B8=0,"예산 없음",IF(I8&gt;=$B$3,"초과",IF(I8&lt;$D$3,"미소진","적정")))</f>
        <v/>
      </c>
    </row>
    <row r="9">
      <c r="A9" s="15" t="inlineStr">
        <is>
          <t>GFA 카탈로그</t>
        </is>
      </c>
      <c r="B9" s="22">
        <f>SUMIFS('가정'!$C$16:$C$27,'가정'!$A$16:$A$27,$A$5,'가정'!$B$16:$B$27,$A9)</f>
        <v/>
      </c>
      <c r="C9" s="22">
        <f>B9*'가정'!$B$7/'가정'!$B$8</f>
        <v/>
      </c>
      <c r="D9" s="22">
        <f>SUMIFS('데이터_광고'!$E$2:$E$500,'데이터_광고'!$A$2:$A$500,$A$5,'데이터_광고'!$B$2:$B$500,$A9)/10000</f>
        <v/>
      </c>
      <c r="E9" s="23">
        <f>IF(C9=0,0,D9/C9)</f>
        <v/>
      </c>
      <c r="F9" s="23">
        <f>IF(B9=0,0,D9/B9)</f>
        <v/>
      </c>
      <c r="G9" s="44">
        <f>B9-D9</f>
        <v/>
      </c>
      <c r="H9" s="22">
        <f>D9+SUMIFS('데이터_광고'!$E$2:$E$500,'데이터_광고'!$A$2:$A$500,$A$5,'데이터_광고'!$B$2:$B$500,$A9,'데이터_광고'!$D$2:$D$500,'가정'!$A$54)/10000/'가정'!$D$54*'가정'!$B$9</f>
        <v/>
      </c>
      <c r="I9" s="23">
        <f>IF(B9=0,0,H9/B9)</f>
        <v/>
      </c>
      <c r="J9" s="7">
        <f>SUMIFS('데이터_광고'!$H$2:$H$500,'데이터_광고'!$A$2:$A$500,$A$5,'데이터_광고'!$B$2:$B$500,$A9)</f>
        <v/>
      </c>
      <c r="K9" s="22">
        <f>SUMIFS('데이터_광고'!$I$2:$I$500,'데이터_광고'!$A$2:$A$500,$A$5,'데이터_광고'!$B$2:$B$500,$A9)/10000</f>
        <v/>
      </c>
      <c r="L9" s="8">
        <f>IF(D9=0,0,K9/D9)</f>
        <v/>
      </c>
      <c r="M9" s="22">
        <f>K9+SUMIFS('데이터_광고'!$I$2:$I$500,'데이터_광고'!$A$2:$A$500,$A$5,'데이터_광고'!$B$2:$B$500,$A9,'데이터_광고'!$D$2:$D$500,'가정'!$A$54)/10000/'가정'!$D$54*'가정'!$B$9</f>
        <v/>
      </c>
      <c r="N9" s="45">
        <f>IF(B9=0,0,M9/B9)</f>
        <v/>
      </c>
      <c r="O9" s="10">
        <f>IF(B9=0,"예산 없음",IF(I9&gt;=$B$3,"초과",IF(I9&lt;$D$3,"미소진","적정")))</f>
        <v/>
      </c>
    </row>
    <row r="10">
      <c r="A10" s="15" t="inlineStr">
        <is>
          <t>GFA 전환</t>
        </is>
      </c>
      <c r="B10" s="22">
        <f>SUMIFS('가정'!$C$16:$C$27,'가정'!$A$16:$A$27,$A$5,'가정'!$B$16:$B$27,$A10)</f>
        <v/>
      </c>
      <c r="C10" s="22">
        <f>B10*'가정'!$B$7/'가정'!$B$8</f>
        <v/>
      </c>
      <c r="D10" s="22">
        <f>SUMIFS('데이터_광고'!$E$2:$E$500,'데이터_광고'!$A$2:$A$500,$A$5,'데이터_광고'!$B$2:$B$500,$A10)/10000</f>
        <v/>
      </c>
      <c r="E10" s="23">
        <f>IF(C10=0,0,D10/C10)</f>
        <v/>
      </c>
      <c r="F10" s="23">
        <f>IF(B10=0,0,D10/B10)</f>
        <v/>
      </c>
      <c r="G10" s="44">
        <f>B10-D10</f>
        <v/>
      </c>
      <c r="H10" s="22">
        <f>D10+SUMIFS('데이터_광고'!$E$2:$E$500,'데이터_광고'!$A$2:$A$500,$A$5,'데이터_광고'!$B$2:$B$500,$A10,'데이터_광고'!$D$2:$D$500,'가정'!$A$54)/10000/'가정'!$D$54*'가정'!$B$9</f>
        <v/>
      </c>
      <c r="I10" s="23">
        <f>IF(B10=0,0,H10/B10)</f>
        <v/>
      </c>
      <c r="J10" s="7">
        <f>SUMIFS('데이터_광고'!$H$2:$H$500,'데이터_광고'!$A$2:$A$500,$A$5,'데이터_광고'!$B$2:$B$500,$A10)</f>
        <v/>
      </c>
      <c r="K10" s="22">
        <f>SUMIFS('데이터_광고'!$I$2:$I$500,'데이터_광고'!$A$2:$A$500,$A$5,'데이터_광고'!$B$2:$B$500,$A10)/10000</f>
        <v/>
      </c>
      <c r="L10" s="8">
        <f>IF(D10=0,0,K10/D10)</f>
        <v/>
      </c>
      <c r="M10" s="22">
        <f>K10+SUMIFS('데이터_광고'!$I$2:$I$500,'데이터_광고'!$A$2:$A$500,$A$5,'데이터_광고'!$B$2:$B$500,$A10,'데이터_광고'!$D$2:$D$500,'가정'!$A$54)/10000/'가정'!$D$54*'가정'!$B$9</f>
        <v/>
      </c>
      <c r="N10" s="45">
        <f>IF(B10=0,0,M10/B10)</f>
        <v/>
      </c>
      <c r="O10" s="10">
        <f>IF(B10=0,"예산 없음",IF(I10&gt;=$B$3,"초과",IF(I10&lt;$D$3,"미소진","적정")))</f>
        <v/>
      </c>
    </row>
    <row r="11">
      <c r="A11" s="15" t="inlineStr">
        <is>
          <t>메타 스스</t>
        </is>
      </c>
      <c r="B11" s="22">
        <f>SUMIFS('가정'!$C$16:$C$27,'가정'!$A$16:$A$27,$A$5,'가정'!$B$16:$B$27,$A11)</f>
        <v/>
      </c>
      <c r="C11" s="22">
        <f>B11*'가정'!$B$7/'가정'!$B$8</f>
        <v/>
      </c>
      <c r="D11" s="22">
        <f>SUMIFS('데이터_광고'!$E$2:$E$500,'데이터_광고'!$A$2:$A$500,$A$5,'데이터_광고'!$B$2:$B$500,$A11)/10000</f>
        <v/>
      </c>
      <c r="E11" s="23">
        <f>IF(C11=0,0,D11/C11)</f>
        <v/>
      </c>
      <c r="F11" s="23">
        <f>IF(B11=0,0,D11/B11)</f>
        <v/>
      </c>
      <c r="G11" s="44">
        <f>B11-D11</f>
        <v/>
      </c>
      <c r="H11" s="22">
        <f>D11+SUMIFS('데이터_광고'!$E$2:$E$500,'데이터_광고'!$A$2:$A$500,$A$5,'데이터_광고'!$B$2:$B$500,$A11,'데이터_광고'!$D$2:$D$500,'가정'!$A$54)/10000/'가정'!$D$54*'가정'!$B$9</f>
        <v/>
      </c>
      <c r="I11" s="23">
        <f>IF(B11=0,0,H11/B11)</f>
        <v/>
      </c>
      <c r="J11" s="7">
        <f>SUMIFS('데이터_광고'!$H$2:$H$500,'데이터_광고'!$A$2:$A$500,$A$5,'데이터_광고'!$B$2:$B$500,$A11)</f>
        <v/>
      </c>
      <c r="K11" s="22">
        <f>SUMIFS('데이터_광고'!$I$2:$I$500,'데이터_광고'!$A$2:$A$500,$A$5,'데이터_광고'!$B$2:$B$500,$A11)/10000</f>
        <v/>
      </c>
      <c r="L11" s="8">
        <f>IF(D11=0,0,K11/D11)</f>
        <v/>
      </c>
      <c r="M11" s="22">
        <f>K11+SUMIFS('데이터_광고'!$I$2:$I$500,'데이터_광고'!$A$2:$A$500,$A$5,'데이터_광고'!$B$2:$B$500,$A11,'데이터_광고'!$D$2:$D$500,'가정'!$A$54)/10000/'가정'!$D$54*'가정'!$B$9</f>
        <v/>
      </c>
      <c r="N11" s="45">
        <f>IF(B11=0,0,M11/B11)</f>
        <v/>
      </c>
      <c r="O11" s="10">
        <f>IF(B11=0,"예산 없음",IF(I11&gt;=$B$3,"초과",IF(I11&lt;$D$3,"미소진","적정")))</f>
        <v/>
      </c>
    </row>
    <row r="12">
      <c r="A12" s="15" t="inlineStr">
        <is>
          <t>메타 자사몰</t>
        </is>
      </c>
      <c r="B12" s="22">
        <f>SUMIFS('가정'!$C$16:$C$27,'가정'!$A$16:$A$27,$A$5,'가정'!$B$16:$B$27,$A12)</f>
        <v/>
      </c>
      <c r="C12" s="22">
        <f>B12*'가정'!$B$7/'가정'!$B$8</f>
        <v/>
      </c>
      <c r="D12" s="22">
        <f>SUMIFS('데이터_광고'!$E$2:$E$500,'데이터_광고'!$A$2:$A$500,$A$5,'데이터_광고'!$B$2:$B$500,$A12)/10000</f>
        <v/>
      </c>
      <c r="E12" s="23">
        <f>IF(C12=0,0,D12/C12)</f>
        <v/>
      </c>
      <c r="F12" s="23">
        <f>IF(B12=0,0,D12/B12)</f>
        <v/>
      </c>
      <c r="G12" s="44">
        <f>B12-D12</f>
        <v/>
      </c>
      <c r="H12" s="22">
        <f>D12+SUMIFS('데이터_광고'!$E$2:$E$500,'데이터_광고'!$A$2:$A$500,$A$5,'데이터_광고'!$B$2:$B$500,$A12,'데이터_광고'!$D$2:$D$500,'가정'!$A$54)/10000/'가정'!$D$54*'가정'!$B$9</f>
        <v/>
      </c>
      <c r="I12" s="23">
        <f>IF(B12=0,0,H12/B12)</f>
        <v/>
      </c>
      <c r="J12" s="7">
        <f>SUMIFS('데이터_광고'!$H$2:$H$500,'데이터_광고'!$A$2:$A$500,$A$5,'데이터_광고'!$B$2:$B$500,$A12)</f>
        <v/>
      </c>
      <c r="K12" s="22">
        <f>SUMIFS('데이터_광고'!$I$2:$I$500,'데이터_광고'!$A$2:$A$500,$A$5,'데이터_광고'!$B$2:$B$500,$A12)/10000</f>
        <v/>
      </c>
      <c r="L12" s="8">
        <f>IF(D12=0,0,K12/D12)</f>
        <v/>
      </c>
      <c r="M12" s="22">
        <f>K12+SUMIFS('데이터_광고'!$I$2:$I$500,'데이터_광고'!$A$2:$A$500,$A$5,'데이터_광고'!$B$2:$B$500,$A12,'데이터_광고'!$D$2:$D$500,'가정'!$A$54)/10000/'가정'!$D$54*'가정'!$B$9</f>
        <v/>
      </c>
      <c r="N12" s="45">
        <f>IF(B12=0,0,M12/B12)</f>
        <v/>
      </c>
      <c r="O12" s="10">
        <f>IF(B12=0,"예산 없음",IF(I12&gt;=$B$3,"초과",IF(I12&lt;$D$3,"미소진","적정")))</f>
        <v/>
      </c>
    </row>
    <row r="13">
      <c r="A13" s="15" t="inlineStr">
        <is>
          <t>브랜드검색 (정액, 예산표 외)</t>
        </is>
      </c>
      <c r="B13" s="22">
        <f>'가정'!$B$38*'가정'!$B$8/10000</f>
        <v/>
      </c>
      <c r="C13" s="22">
        <f>B13*'가정'!$B$7/'가정'!$B$8</f>
        <v/>
      </c>
      <c r="D13" s="22">
        <f>SUMIFS('데이터_광고'!$E$2:$E$500,'데이터_광고'!$A$2:$A$500,$A$5,'데이터_광고'!$B$2:$B$500,"브랜드검색")/10000</f>
        <v/>
      </c>
      <c r="E13" s="23">
        <f>IF(C13=0,0,D13/C13)</f>
        <v/>
      </c>
      <c r="F13" s="23">
        <f>IF(B13=0,0,D13/B13)</f>
        <v/>
      </c>
      <c r="G13" s="44">
        <f>B13-D13</f>
        <v/>
      </c>
      <c r="H13" s="22">
        <f>D13+SUMIFS('데이터_광고'!$E$2:$E$500,'데이터_광고'!$A$2:$A$500,$A$5,'데이터_광고'!$B$2:$B$500,"브랜드검색",'데이터_광고'!$D$2:$D$500,'가정'!$A$54)/10000/'가정'!$D$54*'가정'!$B$9</f>
        <v/>
      </c>
      <c r="I13" s="23">
        <f>IF(B13=0,0,H13/B13)</f>
        <v/>
      </c>
      <c r="J13" s="7">
        <f>SUMIFS('데이터_광고'!$H$2:$H$500,'데이터_광고'!$A$2:$A$500,$A$5,'데이터_광고'!$B$2:$B$500,"브랜드검색")</f>
        <v/>
      </c>
      <c r="K13" s="22">
        <f>SUMIFS('데이터_광고'!$I$2:$I$500,'데이터_광고'!$A$2:$A$500,$A$5,'데이터_광고'!$B$2:$B$500,"브랜드검색")/10000</f>
        <v/>
      </c>
      <c r="L13" s="8">
        <f>IF(D13=0,0,K13/D13)</f>
        <v/>
      </c>
      <c r="M13" s="22">
        <f>K13+SUMIFS('데이터_광고'!$I$2:$I$500,'데이터_광고'!$A$2:$A$500,$A$5,'데이터_광고'!$B$2:$B$500,"브랜드검색",'데이터_광고'!$D$2:$D$500,'가정'!$A$54)/10000/'가정'!$D$54*'가정'!$B$9</f>
        <v/>
      </c>
      <c r="N13" s="45">
        <f>IF(B13=0,0,M13/B13)</f>
        <v/>
      </c>
      <c r="O13" s="10">
        <f>IF(B13=0,"예산 없음",IF(I13&gt;=$B$3,"초과",IF(I13&lt;$D$3,"미소진","적정")))</f>
        <v/>
      </c>
    </row>
    <row r="14">
      <c r="A14" s="11" t="inlineStr">
        <is>
          <t>아넬라 합계 (예산표 기준, 브랜드검색 제외)</t>
        </is>
      </c>
      <c r="B14" s="26">
        <f>SUM(B7:B12)</f>
        <v/>
      </c>
      <c r="C14" s="26">
        <f>B14*'가정'!$B$7/'가정'!$B$8</f>
        <v/>
      </c>
      <c r="D14" s="26">
        <f>SUM(D7:D12)</f>
        <v/>
      </c>
      <c r="E14" s="27">
        <f>IF(C14=0,0,D14/C14)</f>
        <v/>
      </c>
      <c r="F14" s="27">
        <f>IF(B14=0,0,D14/B14)</f>
        <v/>
      </c>
      <c r="G14" s="46">
        <f>B14-D14</f>
        <v/>
      </c>
      <c r="H14" s="26">
        <f>SUM(H7:H12)</f>
        <v/>
      </c>
      <c r="I14" s="27">
        <f>IF(B14=0,0,H14/B14)</f>
        <v/>
      </c>
      <c r="J14" s="12">
        <f>SUM(J7:J12)</f>
        <v/>
      </c>
      <c r="K14" s="26">
        <f>SUM(K7:K12)</f>
        <v/>
      </c>
      <c r="L14" s="13">
        <f>IF(D14=0,0,K14/D14)</f>
        <v/>
      </c>
      <c r="M14" s="26">
        <f>SUM(M7:M12)</f>
        <v/>
      </c>
      <c r="N14" s="47">
        <f>IF(B14=0,0,M14/B14)</f>
        <v/>
      </c>
      <c r="O14" s="14">
        <f>IF(B14=0,"예산 없음",IF(I14&gt;=$B$3,"초과",IF(I14&lt;$D$3,"미소진","적정")))</f>
        <v/>
      </c>
    </row>
    <row r="15">
      <c r="A15" s="11" t="inlineStr">
        <is>
          <t>아넬라 합계 (브랜드검색 포함)</t>
        </is>
      </c>
      <c r="B15" s="26">
        <f>B14+B13</f>
        <v/>
      </c>
      <c r="C15" s="26">
        <f>B15*'가정'!$B$7/'가정'!$B$8</f>
        <v/>
      </c>
      <c r="D15" s="26">
        <f>D14+D13</f>
        <v/>
      </c>
      <c r="E15" s="27">
        <f>IF(C15=0,0,D15/C15)</f>
        <v/>
      </c>
      <c r="F15" s="27">
        <f>IF(B15=0,0,D15/B15)</f>
        <v/>
      </c>
      <c r="G15" s="46">
        <f>B15-D15</f>
        <v/>
      </c>
      <c r="H15" s="26">
        <f>H14+H13</f>
        <v/>
      </c>
      <c r="I15" s="27">
        <f>IF(B15=0,0,H15/B15)</f>
        <v/>
      </c>
      <c r="J15" s="12">
        <f>J14+J13</f>
        <v/>
      </c>
      <c r="K15" s="26">
        <f>K14+K13</f>
        <v/>
      </c>
      <c r="L15" s="13">
        <f>IF(D15=0,0,K15/D15)</f>
        <v/>
      </c>
      <c r="M15" s="26">
        <f>M14+M13</f>
        <v/>
      </c>
      <c r="N15" s="47">
        <f>IF(B15=0,0,M15/B15)</f>
        <v/>
      </c>
      <c r="O15" s="14">
        <f>IF(B15=0,"예산 없음",IF(I15&gt;=$B$3,"초과",IF(I15&lt;$D$3,"미소진","적정")))</f>
        <v/>
      </c>
    </row>
    <row r="17">
      <c r="A17" s="3" t="inlineStr">
        <is>
          <t>로지오가닉</t>
        </is>
      </c>
    </row>
    <row r="18" ht="44" customHeight="1">
      <c r="A18" s="5" t="inlineStr">
        <is>
          <t>매체</t>
        </is>
      </c>
      <c r="B18" s="5" t="inlineStr">
        <is>
          <t>월 예산</t>
        </is>
      </c>
      <c r="C18" s="5" t="inlineStr">
        <is>
          <t>일할 예산 (28일)</t>
        </is>
      </c>
      <c r="D18" s="5" t="inlineStr">
        <is>
          <t>집행 광고비</t>
        </is>
      </c>
      <c r="E18" s="5" t="inlineStr">
        <is>
          <t>일할 대비 소진율</t>
        </is>
      </c>
      <c r="F18" s="5" t="inlineStr">
        <is>
          <t>월 예산 대비 소진율</t>
        </is>
      </c>
      <c r="G18" s="5" t="inlineStr">
        <is>
          <t>잔여 예산</t>
        </is>
      </c>
      <c r="H18" s="5" t="inlineStr">
        <is>
          <t>월말 예상 광고비</t>
        </is>
      </c>
      <c r="I18" s="5" t="inlineStr">
        <is>
          <t>월말 예상 소진율</t>
        </is>
      </c>
      <c r="J18" s="5" t="inlineStr">
        <is>
          <t>구매 (건)</t>
        </is>
      </c>
      <c r="K18" s="5" t="inlineStr">
        <is>
          <t>매출</t>
        </is>
      </c>
      <c r="L18" s="5" t="inlineStr">
        <is>
          <t>ROAS</t>
        </is>
      </c>
      <c r="M18" s="5" t="inlineStr">
        <is>
          <t>월말 예상 매출</t>
        </is>
      </c>
      <c r="N18" s="5" t="inlineStr">
        <is>
          <t>예상 매출 ÷ 월 예산</t>
        </is>
      </c>
      <c r="O18" s="5" t="inlineStr">
        <is>
          <t>소진 판정</t>
        </is>
      </c>
    </row>
    <row r="19">
      <c r="A19" s="15" t="inlineStr">
        <is>
          <t>파워링크</t>
        </is>
      </c>
      <c r="B19" s="22">
        <f>SUMIFS('가정'!$C$16:$C$27,'가정'!$A$16:$A$27,$A$17,'가정'!$B$16:$B$27,$A19)</f>
        <v/>
      </c>
      <c r="C19" s="22">
        <f>B19*'가정'!$B$7/'가정'!$B$8</f>
        <v/>
      </c>
      <c r="D19" s="22">
        <f>SUMIFS('데이터_광고'!$E$2:$E$500,'데이터_광고'!$A$2:$A$500,$A$17,'데이터_광고'!$B$2:$B$500,$A19)/10000</f>
        <v/>
      </c>
      <c r="E19" s="23">
        <f>IF(C19=0,0,D19/C19)</f>
        <v/>
      </c>
      <c r="F19" s="23">
        <f>IF(B19=0,0,D19/B19)</f>
        <v/>
      </c>
      <c r="G19" s="44">
        <f>B19-D19</f>
        <v/>
      </c>
      <c r="H19" s="22">
        <f>D19+SUMIFS('데이터_광고'!$E$2:$E$500,'데이터_광고'!$A$2:$A$500,$A$17,'데이터_광고'!$B$2:$B$500,$A19,'데이터_광고'!$D$2:$D$500,'가정'!$A$54)/10000/'가정'!$D$54*'가정'!$B$9</f>
        <v/>
      </c>
      <c r="I19" s="23">
        <f>IF(B19=0,0,H19/B19)</f>
        <v/>
      </c>
      <c r="J19" s="7">
        <f>SUMIFS('데이터_광고'!$H$2:$H$500,'데이터_광고'!$A$2:$A$500,$A$17,'데이터_광고'!$B$2:$B$500,$A19)</f>
        <v/>
      </c>
      <c r="K19" s="22">
        <f>SUMIFS('데이터_광고'!$I$2:$I$500,'데이터_광고'!$A$2:$A$500,$A$17,'데이터_광고'!$B$2:$B$500,$A19)/10000</f>
        <v/>
      </c>
      <c r="L19" s="8">
        <f>IF(D19=0,0,K19/D19)</f>
        <v/>
      </c>
      <c r="M19" s="22">
        <f>K19+SUMIFS('데이터_광고'!$I$2:$I$500,'데이터_광고'!$A$2:$A$500,$A$17,'데이터_광고'!$B$2:$B$500,$A19,'데이터_광고'!$D$2:$D$500,'가정'!$A$54)/10000/'가정'!$D$54*'가정'!$B$9</f>
        <v/>
      </c>
      <c r="N19" s="45">
        <f>IF(B19=0,0,M19/B19)</f>
        <v/>
      </c>
      <c r="O19" s="10">
        <f>IF(B19=0,"예산 없음",IF(I19&gt;=$B$3,"초과",IF(I19&lt;$D$3,"미소진","적정")))</f>
        <v/>
      </c>
    </row>
    <row r="20">
      <c r="A20" s="15" t="inlineStr">
        <is>
          <t>쇼핑검색</t>
        </is>
      </c>
      <c r="B20" s="22">
        <f>SUMIFS('가정'!$C$16:$C$27,'가정'!$A$16:$A$27,$A$17,'가정'!$B$16:$B$27,$A20)</f>
        <v/>
      </c>
      <c r="C20" s="22">
        <f>B20*'가정'!$B$7/'가정'!$B$8</f>
        <v/>
      </c>
      <c r="D20" s="22">
        <f>SUMIFS('데이터_광고'!$E$2:$E$500,'데이터_광고'!$A$2:$A$500,$A$17,'데이터_광고'!$B$2:$B$500,$A20)/10000</f>
        <v/>
      </c>
      <c r="E20" s="23">
        <f>IF(C20=0,0,D20/C20)</f>
        <v/>
      </c>
      <c r="F20" s="23">
        <f>IF(B20=0,0,D20/B20)</f>
        <v/>
      </c>
      <c r="G20" s="44">
        <f>B20-D20</f>
        <v/>
      </c>
      <c r="H20" s="22">
        <f>D20+SUMIFS('데이터_광고'!$E$2:$E$500,'데이터_광고'!$A$2:$A$500,$A$17,'데이터_광고'!$B$2:$B$500,$A20,'데이터_광고'!$D$2:$D$500,'가정'!$A$54)/10000/'가정'!$D$54*'가정'!$B$9</f>
        <v/>
      </c>
      <c r="I20" s="23">
        <f>IF(B20=0,0,H20/B20)</f>
        <v/>
      </c>
      <c r="J20" s="7">
        <f>SUMIFS('데이터_광고'!$H$2:$H$500,'데이터_광고'!$A$2:$A$500,$A$17,'데이터_광고'!$B$2:$B$500,$A20)</f>
        <v/>
      </c>
      <c r="K20" s="22">
        <f>SUMIFS('데이터_광고'!$I$2:$I$500,'데이터_광고'!$A$2:$A$500,$A$17,'데이터_광고'!$B$2:$B$500,$A20)/10000</f>
        <v/>
      </c>
      <c r="L20" s="8">
        <f>IF(D20=0,0,K20/D20)</f>
        <v/>
      </c>
      <c r="M20" s="22">
        <f>K20+SUMIFS('데이터_광고'!$I$2:$I$500,'데이터_광고'!$A$2:$A$500,$A$17,'데이터_광고'!$B$2:$B$500,$A20,'데이터_광고'!$D$2:$D$500,'가정'!$A$54)/10000/'가정'!$D$54*'가정'!$B$9</f>
        <v/>
      </c>
      <c r="N20" s="45">
        <f>IF(B20=0,0,M20/B20)</f>
        <v/>
      </c>
      <c r="O20" s="10">
        <f>IF(B20=0,"예산 없음",IF(I20&gt;=$B$3,"초과",IF(I20&lt;$D$3,"미소진","적정")))</f>
        <v/>
      </c>
    </row>
    <row r="21">
      <c r="A21" s="15" t="inlineStr">
        <is>
          <t>GFA 카탈로그</t>
        </is>
      </c>
      <c r="B21" s="22">
        <f>SUMIFS('가정'!$C$16:$C$27,'가정'!$A$16:$A$27,$A$17,'가정'!$B$16:$B$27,$A21)</f>
        <v/>
      </c>
      <c r="C21" s="22">
        <f>B21*'가정'!$B$7/'가정'!$B$8</f>
        <v/>
      </c>
      <c r="D21" s="22">
        <f>SUMIFS('데이터_광고'!$E$2:$E$500,'데이터_광고'!$A$2:$A$500,$A$17,'데이터_광고'!$B$2:$B$500,$A21)/10000</f>
        <v/>
      </c>
      <c r="E21" s="23">
        <f>IF(C21=0,0,D21/C21)</f>
        <v/>
      </c>
      <c r="F21" s="23">
        <f>IF(B21=0,0,D21/B21)</f>
        <v/>
      </c>
      <c r="G21" s="44">
        <f>B21-D21</f>
        <v/>
      </c>
      <c r="H21" s="22">
        <f>D21+SUMIFS('데이터_광고'!$E$2:$E$500,'데이터_광고'!$A$2:$A$500,$A$17,'데이터_광고'!$B$2:$B$500,$A21,'데이터_광고'!$D$2:$D$500,'가정'!$A$54)/10000/'가정'!$D$54*'가정'!$B$9</f>
        <v/>
      </c>
      <c r="I21" s="23">
        <f>IF(B21=0,0,H21/B21)</f>
        <v/>
      </c>
      <c r="J21" s="7">
        <f>SUMIFS('데이터_광고'!$H$2:$H$500,'데이터_광고'!$A$2:$A$500,$A$17,'데이터_광고'!$B$2:$B$500,$A21)</f>
        <v/>
      </c>
      <c r="K21" s="22">
        <f>SUMIFS('데이터_광고'!$I$2:$I$500,'데이터_광고'!$A$2:$A$500,$A$17,'데이터_광고'!$B$2:$B$500,$A21)/10000</f>
        <v/>
      </c>
      <c r="L21" s="8">
        <f>IF(D21=0,0,K21/D21)</f>
        <v/>
      </c>
      <c r="M21" s="22">
        <f>K21+SUMIFS('데이터_광고'!$I$2:$I$500,'데이터_광고'!$A$2:$A$500,$A$17,'데이터_광고'!$B$2:$B$500,$A21,'데이터_광고'!$D$2:$D$500,'가정'!$A$54)/10000/'가정'!$D$54*'가정'!$B$9</f>
        <v/>
      </c>
      <c r="N21" s="45">
        <f>IF(B21=0,0,M21/B21)</f>
        <v/>
      </c>
      <c r="O21" s="10">
        <f>IF(B21=0,"예산 없음",IF(I21&gt;=$B$3,"초과",IF(I21&lt;$D$3,"미소진","적정")))</f>
        <v/>
      </c>
    </row>
    <row r="22">
      <c r="A22" s="15" t="inlineStr">
        <is>
          <t>GFA 전환</t>
        </is>
      </c>
      <c r="B22" s="22">
        <f>SUMIFS('가정'!$C$16:$C$27,'가정'!$A$16:$A$27,$A$17,'가정'!$B$16:$B$27,$A22)</f>
        <v/>
      </c>
      <c r="C22" s="22">
        <f>B22*'가정'!$B$7/'가정'!$B$8</f>
        <v/>
      </c>
      <c r="D22" s="22">
        <f>SUMIFS('데이터_광고'!$E$2:$E$500,'데이터_광고'!$A$2:$A$500,$A$17,'데이터_광고'!$B$2:$B$500,$A22)/10000</f>
        <v/>
      </c>
      <c r="E22" s="23">
        <f>IF(C22=0,0,D22/C22)</f>
        <v/>
      </c>
      <c r="F22" s="23">
        <f>IF(B22=0,0,D22/B22)</f>
        <v/>
      </c>
      <c r="G22" s="44">
        <f>B22-D22</f>
        <v/>
      </c>
      <c r="H22" s="22">
        <f>D22+SUMIFS('데이터_광고'!$E$2:$E$500,'데이터_광고'!$A$2:$A$500,$A$17,'데이터_광고'!$B$2:$B$500,$A22,'데이터_광고'!$D$2:$D$500,'가정'!$A$54)/10000/'가정'!$D$54*'가정'!$B$9</f>
        <v/>
      </c>
      <c r="I22" s="23">
        <f>IF(B22=0,0,H22/B22)</f>
        <v/>
      </c>
      <c r="J22" s="7">
        <f>SUMIFS('데이터_광고'!$H$2:$H$500,'데이터_광고'!$A$2:$A$500,$A$17,'데이터_광고'!$B$2:$B$500,$A22)</f>
        <v/>
      </c>
      <c r="K22" s="22">
        <f>SUMIFS('데이터_광고'!$I$2:$I$500,'데이터_광고'!$A$2:$A$500,$A$17,'데이터_광고'!$B$2:$B$500,$A22)/10000</f>
        <v/>
      </c>
      <c r="L22" s="8">
        <f>IF(D22=0,0,K22/D22)</f>
        <v/>
      </c>
      <c r="M22" s="22">
        <f>K22+SUMIFS('데이터_광고'!$I$2:$I$500,'데이터_광고'!$A$2:$A$500,$A$17,'데이터_광고'!$B$2:$B$500,$A22,'데이터_광고'!$D$2:$D$500,'가정'!$A$54)/10000/'가정'!$D$54*'가정'!$B$9</f>
        <v/>
      </c>
      <c r="N22" s="45">
        <f>IF(B22=0,0,M22/B22)</f>
        <v/>
      </c>
      <c r="O22" s="10">
        <f>IF(B22=0,"예산 없음",IF(I22&gt;=$B$3,"초과",IF(I22&lt;$D$3,"미소진","적정")))</f>
        <v/>
      </c>
    </row>
    <row r="23">
      <c r="A23" s="15" t="inlineStr">
        <is>
          <t>메타 스스</t>
        </is>
      </c>
      <c r="B23" s="22">
        <f>SUMIFS('가정'!$C$16:$C$27,'가정'!$A$16:$A$27,$A$17,'가정'!$B$16:$B$27,$A23)</f>
        <v/>
      </c>
      <c r="C23" s="22">
        <f>B23*'가정'!$B$7/'가정'!$B$8</f>
        <v/>
      </c>
      <c r="D23" s="22">
        <f>SUMIFS('데이터_광고'!$E$2:$E$500,'데이터_광고'!$A$2:$A$500,$A$17,'데이터_광고'!$B$2:$B$500,$A23)/10000</f>
        <v/>
      </c>
      <c r="E23" s="23">
        <f>IF(C23=0,0,D23/C23)</f>
        <v/>
      </c>
      <c r="F23" s="23">
        <f>IF(B23=0,0,D23/B23)</f>
        <v/>
      </c>
      <c r="G23" s="44">
        <f>B23-D23</f>
        <v/>
      </c>
      <c r="H23" s="22">
        <f>D23+SUMIFS('데이터_광고'!$E$2:$E$500,'데이터_광고'!$A$2:$A$500,$A$17,'데이터_광고'!$B$2:$B$500,$A23,'데이터_광고'!$D$2:$D$500,'가정'!$A$54)/10000/'가정'!$D$54*'가정'!$B$9</f>
        <v/>
      </c>
      <c r="I23" s="23">
        <f>IF(B23=0,0,H23/B23)</f>
        <v/>
      </c>
      <c r="J23" s="7">
        <f>SUMIFS('데이터_광고'!$H$2:$H$500,'데이터_광고'!$A$2:$A$500,$A$17,'데이터_광고'!$B$2:$B$500,$A23)</f>
        <v/>
      </c>
      <c r="K23" s="22">
        <f>SUMIFS('데이터_광고'!$I$2:$I$500,'데이터_광고'!$A$2:$A$500,$A$17,'데이터_광고'!$B$2:$B$500,$A23)/10000</f>
        <v/>
      </c>
      <c r="L23" s="8">
        <f>IF(D23=0,0,K23/D23)</f>
        <v/>
      </c>
      <c r="M23" s="22">
        <f>K23+SUMIFS('데이터_광고'!$I$2:$I$500,'데이터_광고'!$A$2:$A$500,$A$17,'데이터_광고'!$B$2:$B$500,$A23,'데이터_광고'!$D$2:$D$500,'가정'!$A$54)/10000/'가정'!$D$54*'가정'!$B$9</f>
        <v/>
      </c>
      <c r="N23" s="45">
        <f>IF(B23=0,0,M23/B23)</f>
        <v/>
      </c>
      <c r="O23" s="10">
        <f>IF(B23=0,"예산 없음",IF(I23&gt;=$B$3,"초과",IF(I23&lt;$D$3,"미소진","적정")))</f>
        <v/>
      </c>
    </row>
    <row r="24">
      <c r="A24" s="15" t="inlineStr">
        <is>
          <t>메타 자사몰</t>
        </is>
      </c>
      <c r="B24" s="22">
        <f>SUMIFS('가정'!$C$16:$C$27,'가정'!$A$16:$A$27,$A$17,'가정'!$B$16:$B$27,$A24)</f>
        <v/>
      </c>
      <c r="C24" s="22">
        <f>B24*'가정'!$B$7/'가정'!$B$8</f>
        <v/>
      </c>
      <c r="D24" s="22">
        <f>SUMIFS('데이터_광고'!$E$2:$E$500,'데이터_광고'!$A$2:$A$500,$A$17,'데이터_광고'!$B$2:$B$500,$A24)/10000</f>
        <v/>
      </c>
      <c r="E24" s="23">
        <f>IF(C24=0,0,D24/C24)</f>
        <v/>
      </c>
      <c r="F24" s="23">
        <f>IF(B24=0,0,D24/B24)</f>
        <v/>
      </c>
      <c r="G24" s="44">
        <f>B24-D24</f>
        <v/>
      </c>
      <c r="H24" s="22">
        <f>D24+SUMIFS('데이터_광고'!$E$2:$E$500,'데이터_광고'!$A$2:$A$500,$A$17,'데이터_광고'!$B$2:$B$500,$A24,'데이터_광고'!$D$2:$D$500,'가정'!$A$54)/10000/'가정'!$D$54*'가정'!$B$9</f>
        <v/>
      </c>
      <c r="I24" s="23">
        <f>IF(B24=0,0,H24/B24)</f>
        <v/>
      </c>
      <c r="J24" s="7">
        <f>SUMIFS('데이터_광고'!$H$2:$H$500,'데이터_광고'!$A$2:$A$500,$A$17,'데이터_광고'!$B$2:$B$500,$A24)</f>
        <v/>
      </c>
      <c r="K24" s="22">
        <f>SUMIFS('데이터_광고'!$I$2:$I$500,'데이터_광고'!$A$2:$A$500,$A$17,'데이터_광고'!$B$2:$B$500,$A24)/10000</f>
        <v/>
      </c>
      <c r="L24" s="8">
        <f>IF(D24=0,0,K24/D24)</f>
        <v/>
      </c>
      <c r="M24" s="22">
        <f>K24+SUMIFS('데이터_광고'!$I$2:$I$500,'데이터_광고'!$A$2:$A$500,$A$17,'데이터_광고'!$B$2:$B$500,$A24,'데이터_광고'!$D$2:$D$500,'가정'!$A$54)/10000/'가정'!$D$54*'가정'!$B$9</f>
        <v/>
      </c>
      <c r="N24" s="45">
        <f>IF(B24=0,0,M24/B24)</f>
        <v/>
      </c>
      <c r="O24" s="10">
        <f>IF(B24=0,"예산 없음",IF(I24&gt;=$B$3,"초과",IF(I24&lt;$D$3,"미소진","적정")))</f>
        <v/>
      </c>
    </row>
    <row r="25">
      <c r="A25" s="15" t="inlineStr">
        <is>
          <t>브랜드검색 (정액, 예산표 외)</t>
        </is>
      </c>
      <c r="B25" s="22">
        <f>'가정'!$B$38*'가정'!$B$8/10000</f>
        <v/>
      </c>
      <c r="C25" s="22">
        <f>B25*'가정'!$B$7/'가정'!$B$8</f>
        <v/>
      </c>
      <c r="D25" s="22">
        <f>SUMIFS('데이터_광고'!$E$2:$E$500,'데이터_광고'!$A$2:$A$500,$A$17,'데이터_광고'!$B$2:$B$500,"브랜드검색")/10000</f>
        <v/>
      </c>
      <c r="E25" s="23">
        <f>IF(C25=0,0,D25/C25)</f>
        <v/>
      </c>
      <c r="F25" s="23">
        <f>IF(B25=0,0,D25/B25)</f>
        <v/>
      </c>
      <c r="G25" s="44">
        <f>B25-D25</f>
        <v/>
      </c>
      <c r="H25" s="22">
        <f>D25+SUMIFS('데이터_광고'!$E$2:$E$500,'데이터_광고'!$A$2:$A$500,$A$17,'데이터_광고'!$B$2:$B$500,"브랜드검색",'데이터_광고'!$D$2:$D$500,'가정'!$A$54)/10000/'가정'!$D$54*'가정'!$B$9</f>
        <v/>
      </c>
      <c r="I25" s="23">
        <f>IF(B25=0,0,H25/B25)</f>
        <v/>
      </c>
      <c r="J25" s="7">
        <f>SUMIFS('데이터_광고'!$H$2:$H$500,'데이터_광고'!$A$2:$A$500,$A$17,'데이터_광고'!$B$2:$B$500,"브랜드검색")</f>
        <v/>
      </c>
      <c r="K25" s="22">
        <f>SUMIFS('데이터_광고'!$I$2:$I$500,'데이터_광고'!$A$2:$A$500,$A$17,'데이터_광고'!$B$2:$B$500,"브랜드검색")/10000</f>
        <v/>
      </c>
      <c r="L25" s="8">
        <f>IF(D25=0,0,K25/D25)</f>
        <v/>
      </c>
      <c r="M25" s="22">
        <f>K25+SUMIFS('데이터_광고'!$I$2:$I$500,'데이터_광고'!$A$2:$A$500,$A$17,'데이터_광고'!$B$2:$B$500,"브랜드검색",'데이터_광고'!$D$2:$D$500,'가정'!$A$54)/10000/'가정'!$D$54*'가정'!$B$9</f>
        <v/>
      </c>
      <c r="N25" s="45">
        <f>IF(B25=0,0,M25/B25)</f>
        <v/>
      </c>
      <c r="O25" s="10">
        <f>IF(B25=0,"예산 없음",IF(I25&gt;=$B$3,"초과",IF(I25&lt;$D$3,"미소진","적정")))</f>
        <v/>
      </c>
    </row>
    <row r="26">
      <c r="A26" s="11" t="inlineStr">
        <is>
          <t>로지오가닉 합계 (예산표 기준, 브랜드검색 제외)</t>
        </is>
      </c>
      <c r="B26" s="26">
        <f>SUM(B19:B24)</f>
        <v/>
      </c>
      <c r="C26" s="26">
        <f>B26*'가정'!$B$7/'가정'!$B$8</f>
        <v/>
      </c>
      <c r="D26" s="26">
        <f>SUM(D19:D24)</f>
        <v/>
      </c>
      <c r="E26" s="27">
        <f>IF(C26=0,0,D26/C26)</f>
        <v/>
      </c>
      <c r="F26" s="27">
        <f>IF(B26=0,0,D26/B26)</f>
        <v/>
      </c>
      <c r="G26" s="46">
        <f>B26-D26</f>
        <v/>
      </c>
      <c r="H26" s="26">
        <f>SUM(H19:H24)</f>
        <v/>
      </c>
      <c r="I26" s="27">
        <f>IF(B26=0,0,H26/B26)</f>
        <v/>
      </c>
      <c r="J26" s="12">
        <f>SUM(J19:J24)</f>
        <v/>
      </c>
      <c r="K26" s="26">
        <f>SUM(K19:K24)</f>
        <v/>
      </c>
      <c r="L26" s="13">
        <f>IF(D26=0,0,K26/D26)</f>
        <v/>
      </c>
      <c r="M26" s="26">
        <f>SUM(M19:M24)</f>
        <v/>
      </c>
      <c r="N26" s="47">
        <f>IF(B26=0,0,M26/B26)</f>
        <v/>
      </c>
      <c r="O26" s="14">
        <f>IF(B26=0,"예산 없음",IF(I26&gt;=$B$3,"초과",IF(I26&lt;$D$3,"미소진","적정")))</f>
        <v/>
      </c>
    </row>
    <row r="27">
      <c r="A27" s="11" t="inlineStr">
        <is>
          <t>로지오가닉 합계 (브랜드검색 포함)</t>
        </is>
      </c>
      <c r="B27" s="26">
        <f>B26+B25</f>
        <v/>
      </c>
      <c r="C27" s="26">
        <f>B27*'가정'!$B$7/'가정'!$B$8</f>
        <v/>
      </c>
      <c r="D27" s="26">
        <f>D26+D25</f>
        <v/>
      </c>
      <c r="E27" s="27">
        <f>IF(C27=0,0,D27/C27)</f>
        <v/>
      </c>
      <c r="F27" s="27">
        <f>IF(B27=0,0,D27/B27)</f>
        <v/>
      </c>
      <c r="G27" s="46">
        <f>B27-D27</f>
        <v/>
      </c>
      <c r="H27" s="26">
        <f>H26+H25</f>
        <v/>
      </c>
      <c r="I27" s="27">
        <f>IF(B27=0,0,H27/B27)</f>
        <v/>
      </c>
      <c r="J27" s="12">
        <f>J26+J25</f>
        <v/>
      </c>
      <c r="K27" s="26">
        <f>K26+K25</f>
        <v/>
      </c>
      <c r="L27" s="13">
        <f>IF(D27=0,0,K27/D27)</f>
        <v/>
      </c>
      <c r="M27" s="26">
        <f>M26+M25</f>
        <v/>
      </c>
      <c r="N27" s="47">
        <f>IF(B27=0,0,M27/B27)</f>
        <v/>
      </c>
      <c r="O27" s="14">
        <f>IF(B27=0,"예산 없음",IF(I27&gt;=$B$3,"초과",IF(I27&lt;$D$3,"미소진","적정")))</f>
        <v/>
      </c>
    </row>
    <row r="29">
      <c r="A29" s="11" t="inlineStr">
        <is>
          <t>전체 합계 (브랜드검색 포함)</t>
        </is>
      </c>
      <c r="B29" s="26">
        <f>B15+B27</f>
        <v/>
      </c>
      <c r="C29" s="26">
        <f>B29*'가정'!$B$7/'가정'!$B$8</f>
        <v/>
      </c>
      <c r="D29" s="26">
        <f>D15+D27</f>
        <v/>
      </c>
      <c r="E29" s="13">
        <f>IF(C29=0,0,D29/C29)</f>
        <v/>
      </c>
      <c r="F29" s="13">
        <f>IF(B29=0,0,D29/B29)</f>
        <v/>
      </c>
      <c r="G29" s="46">
        <f>B29-D29</f>
        <v/>
      </c>
      <c r="H29" s="26">
        <f>H15+H27</f>
        <v/>
      </c>
      <c r="I29" s="13">
        <f>IF(B29=0,0,H29/B29)</f>
        <v/>
      </c>
      <c r="J29" s="12">
        <f>J15+J27</f>
        <v/>
      </c>
      <c r="K29" s="26">
        <f>K15+K27</f>
        <v/>
      </c>
      <c r="L29" s="13">
        <f>IF(D29=0,0,K29/D29)</f>
        <v/>
      </c>
      <c r="M29" s="26">
        <f>M15+M27</f>
        <v/>
      </c>
      <c r="N29" s="47">
        <f>IF(B29=0,0,M29/B29)</f>
        <v/>
      </c>
      <c r="O29" s="14">
        <f>IF(I29&gt;=$B$3,"초과",IF(I29&lt;$D$3,"미소진","적정"))</f>
        <v/>
      </c>
    </row>
    <row r="31">
      <c r="A31" s="4">
        <f>"· 아넬라: 월 예산 "&amp;TEXT(B14,"#,##0")&amp;"만원 중 28일간 "&amp;TEXT(D14,"#,##0")&amp;"만원 집행(일할 대비 "&amp;TEXT(E14,"0%")&amp;"), 월말 예상 소진율 "&amp;TEXT(I14,"0%")&amp;". 집행 대비 매출 "&amp;TEXT(K14,"#,##0")&amp;"만원(ROAS "&amp;TEXT(L14,"#,##0%")&amp;", 브랜드검색 제외)."</f>
        <v/>
      </c>
    </row>
    <row r="32">
      <c r="A32" s="4">
        <f>"· 로지오가닉: 월 예산 "&amp;TEXT(B26,"#,##0")&amp;"만원 중 28일간 "&amp;TEXT(D26,"#,##0")&amp;"만원 집행(일할 대비 "&amp;TEXT(E26,"0%")&amp;"), 월말 예상 소진율 "&amp;TEXT(I26,"0%")&amp;". 집행 대비 매출 "&amp;TEXT(K26,"#,##0")&amp;"만원(ROAS "&amp;TEXT(L26,"#,##0%")&amp;", 브랜드검색 제외)."</f>
        <v/>
      </c>
    </row>
    <row r="33">
      <c r="A33" s="21" t="inlineStr">
        <is>
          <t>브랜드검색은 정액 상품이라 월 예산(88만원×31/30)과 집행이 거의 같고 매출이 커서, 브랜드검색 포함 합계의 ROAS가 높게 나옵니다. 매체별 예산 소진 판단은 예산표 기준(브랜드검색 제외) 합계를 보세요.</t>
        </is>
      </c>
    </row>
    <row r="34">
      <c r="A34" s="21" t="inlineStr">
        <is>
          <t>월말 예상은 넾다세일 구간(10/26~28) 일평균을 3일 더 이은 값입니다. GFA 전환(로지)은 10월 예산이 0이라 소진율이 계산되지 않고, 10/26부터 넾다세일 한정으로 집행됐습니다.</t>
        </is>
      </c>
    </row>
  </sheetData>
  <mergeCells count="5">
    <mergeCell ref="A2:O2"/>
    <mergeCell ref="A33:O33"/>
    <mergeCell ref="A32:O32"/>
    <mergeCell ref="A31:O31"/>
    <mergeCell ref="A34:O34"/>
  </mergeCells>
  <conditionalFormatting sqref="O5:O60">
    <cfRule type="expression" priority="1" dxfId="2">
      <formula>O5="초과"</formula>
    </cfRule>
    <cfRule type="expression" priority="2" dxfId="1">
      <formula>O5="미소진"</formula>
    </cfRule>
    <cfRule type="expression" priority="3" dxfId="0">
      <formula>O5="적정"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K31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자사몰 10월 매출 (브랜드별) 과 메타 시크릿링크 광고</t>
        </is>
      </c>
    </row>
    <row r="2" ht="28" customHeight="1">
      <c r="A2" s="21" t="inlineStr">
        <is>
          <t>금액은 만원. 판매합계는 파일 값 그대로이며, 상품명에 "시크릿 특가"가 붙은 상품은 메타 시크릿링크 광고 유입 상품으로 봅니다. 파일에 기간이 없어 10월로 보았습니다.</t>
        </is>
      </c>
    </row>
    <row r="5">
      <c r="A5" s="3" t="inlineStr">
        <is>
          <t>브랜드별 자사몰 매출</t>
        </is>
      </c>
    </row>
    <row r="6" ht="32" customHeight="1">
      <c r="A6" s="5" t="inlineStr">
        <is>
          <t>구분</t>
        </is>
      </c>
      <c r="B6" s="5" t="inlineStr">
        <is>
          <t>결제수량</t>
        </is>
      </c>
      <c r="C6" s="5" t="inlineStr">
        <is>
          <t>환불수량</t>
        </is>
      </c>
      <c r="D6" s="5" t="inlineStr">
        <is>
          <t>환불률</t>
        </is>
      </c>
      <c r="E6" s="5" t="inlineStr">
        <is>
          <t>판매수량</t>
        </is>
      </c>
      <c r="F6" s="5" t="inlineStr">
        <is>
          <t>판매합계</t>
        </is>
      </c>
      <c r="G6" s="5" t="inlineStr">
        <is>
          <t>시크릿특가 매출</t>
        </is>
      </c>
      <c r="H6" s="5" t="inlineStr">
        <is>
          <t>시크릿특가 비중</t>
        </is>
      </c>
      <c r="I6" s="5" t="inlineStr">
        <is>
          <t>첫구매 전용 매출</t>
        </is>
      </c>
      <c r="J6" s="5" t="inlineStr">
        <is>
          <t>첫구매 전용 비중</t>
        </is>
      </c>
      <c r="K6" s="5" t="inlineStr">
        <is>
          <t>그 외 매출</t>
        </is>
      </c>
    </row>
    <row r="7">
      <c r="A7" s="15" t="inlineStr">
        <is>
          <t>아넬라</t>
        </is>
      </c>
      <c r="B7" s="7">
        <f>SUMIFS('데이터_자사몰'!$D$2:$D$300,'데이터_자사몰'!$H$2:$H$300,"아넬라")</f>
        <v/>
      </c>
      <c r="C7" s="7">
        <f>SUMIFS('데이터_자사몰'!$E$2:$E$300,'데이터_자사몰'!$H$2:$H$300,"아넬라")</f>
        <v/>
      </c>
      <c r="D7" s="25">
        <f>IF(B7=0,0,C7/B7)</f>
        <v/>
      </c>
      <c r="E7" s="7">
        <f>SUMIFS('데이터_자사몰'!$F$2:$F$300,'데이터_자사몰'!$H$2:$H$300,"아넬라")</f>
        <v/>
      </c>
      <c r="F7" s="22">
        <f>SUMIFS('데이터_자사몰'!$G$2:$G$300,'데이터_자사몰'!$H$2:$H$300,"아넬라")/10000</f>
        <v/>
      </c>
      <c r="G7" s="22">
        <f>SUMIFS('데이터_자사몰'!$G$2:$G$300,'데이터_자사몰'!$H$2:$H$300,"아넬라",'데이터_자사몰'!$I$2:$I$300,"시크릿특가")/10000</f>
        <v/>
      </c>
      <c r="H7" s="9">
        <f>IF(F7=0,0,G7/F7)</f>
        <v/>
      </c>
      <c r="I7" s="22">
        <f>SUMIFS('데이터_자사몰'!$G$2:$G$300,'데이터_자사몰'!$H$2:$H$300,"아넬라",'데이터_자사몰'!$I$2:$I$300,"첫구매전용")/10000</f>
        <v/>
      </c>
      <c r="J7" s="9">
        <f>IF(F7=0,0,I7/F7)</f>
        <v/>
      </c>
      <c r="K7" s="22">
        <f>F7-G7-I7</f>
        <v/>
      </c>
    </row>
    <row r="8">
      <c r="A8" s="15" t="inlineStr">
        <is>
          <t>로지오가닉</t>
        </is>
      </c>
      <c r="B8" s="7">
        <f>SUMIFS('데이터_자사몰'!$D$2:$D$300,'데이터_자사몰'!$H$2:$H$300,"로지오가닉")</f>
        <v/>
      </c>
      <c r="C8" s="7">
        <f>SUMIFS('데이터_자사몰'!$E$2:$E$300,'데이터_자사몰'!$H$2:$H$300,"로지오가닉")</f>
        <v/>
      </c>
      <c r="D8" s="25">
        <f>IF(B8=0,0,C8/B8)</f>
        <v/>
      </c>
      <c r="E8" s="7">
        <f>SUMIFS('데이터_자사몰'!$F$2:$F$300,'데이터_자사몰'!$H$2:$H$300,"로지오가닉")</f>
        <v/>
      </c>
      <c r="F8" s="22">
        <f>SUMIFS('데이터_자사몰'!$G$2:$G$300,'데이터_자사몰'!$H$2:$H$300,"로지오가닉")/10000</f>
        <v/>
      </c>
      <c r="G8" s="22">
        <f>SUMIFS('데이터_자사몰'!$G$2:$G$300,'데이터_자사몰'!$H$2:$H$300,"로지오가닉",'데이터_자사몰'!$I$2:$I$300,"시크릿특가")/10000</f>
        <v/>
      </c>
      <c r="H8" s="9">
        <f>IF(F8=0,0,G8/F8)</f>
        <v/>
      </c>
      <c r="I8" s="22">
        <f>SUMIFS('데이터_자사몰'!$G$2:$G$300,'데이터_자사몰'!$H$2:$H$300,"로지오가닉",'데이터_자사몰'!$I$2:$I$300,"첫구매전용")/10000</f>
        <v/>
      </c>
      <c r="J8" s="9">
        <f>IF(F8=0,0,I8/F8)</f>
        <v/>
      </c>
      <c r="K8" s="22">
        <f>F8-G8-I8</f>
        <v/>
      </c>
    </row>
    <row r="9">
      <c r="A9" s="15" t="inlineStr">
        <is>
          <t>공통 (전품목 맛보기팩)</t>
        </is>
      </c>
      <c r="B9" s="7">
        <f>SUMIFS('데이터_자사몰'!$D$2:$D$300,'데이터_자사몰'!$H$2:$H$300,"공통")</f>
        <v/>
      </c>
      <c r="C9" s="7">
        <f>SUMIFS('데이터_자사몰'!$E$2:$E$300,'데이터_자사몰'!$H$2:$H$300,"공통")</f>
        <v/>
      </c>
      <c r="D9" s="25">
        <f>IF(B9=0,0,C9/B9)</f>
        <v/>
      </c>
      <c r="E9" s="7">
        <f>SUMIFS('데이터_자사몰'!$F$2:$F$300,'데이터_자사몰'!$H$2:$H$300,"공통")</f>
        <v/>
      </c>
      <c r="F9" s="22">
        <f>SUMIFS('데이터_자사몰'!$G$2:$G$300,'데이터_자사몰'!$H$2:$H$300,"공통")/10000</f>
        <v/>
      </c>
      <c r="G9" s="22">
        <f>SUMIFS('데이터_자사몰'!$G$2:$G$300,'데이터_자사몰'!$H$2:$H$300,"공통",'데이터_자사몰'!$I$2:$I$300,"시크릿특가")/10000</f>
        <v/>
      </c>
      <c r="H9" s="9">
        <f>IF(F9=0,0,G9/F9)</f>
        <v/>
      </c>
      <c r="I9" s="22">
        <f>SUMIFS('데이터_자사몰'!$G$2:$G$300,'데이터_자사몰'!$H$2:$H$300,"공통",'데이터_자사몰'!$I$2:$I$300,"첫구매전용")/10000</f>
        <v/>
      </c>
      <c r="J9" s="9">
        <f>IF(F9=0,0,I9/F9)</f>
        <v/>
      </c>
      <c r="K9" s="22">
        <f>F9-G9-I9</f>
        <v/>
      </c>
    </row>
    <row r="10">
      <c r="A10" s="11" t="inlineStr">
        <is>
          <t>합계</t>
        </is>
      </c>
      <c r="B10" s="12">
        <f>SUM(B7:B9)</f>
        <v/>
      </c>
      <c r="C10" s="12">
        <f>SUM(C7:C9)</f>
        <v/>
      </c>
      <c r="D10" s="29">
        <f>IF(B10=0,0,C10/B10)</f>
        <v/>
      </c>
      <c r="E10" s="12">
        <f>SUM(E7:E9)</f>
        <v/>
      </c>
      <c r="F10" s="26">
        <f>SUM(F7:F9)</f>
        <v/>
      </c>
      <c r="G10" s="26">
        <f>SUM(G7:G9)</f>
        <v/>
      </c>
      <c r="H10" s="13">
        <f>IF(F10=0,0,G10/F10)</f>
        <v/>
      </c>
      <c r="I10" s="26">
        <f>SUM(I7:I9)</f>
        <v/>
      </c>
      <c r="J10" s="13">
        <f>IF(F10=0,0,I10/F10)</f>
        <v/>
      </c>
      <c r="K10" s="26">
        <f>F10-G10-I10</f>
        <v/>
      </c>
    </row>
    <row r="11">
      <c r="A11" s="21" t="inlineStr">
        <is>
          <t>브랜드 구분은 상품명에 "아넬라"/"로지오가닉"이 있는지로 나눴습니다. 두 브랜드가 함께 적힌 상품(신규회원 한정 맛보기팩)은 공통으로 따로 뒀습니다.</t>
        </is>
      </c>
    </row>
    <row r="13">
      <c r="A13" s="3" t="inlineStr">
        <is>
          <t>메타 시크릿링크 광고 vs 자사몰 시크릿특가 실매출</t>
        </is>
      </c>
    </row>
    <row r="14" ht="44" customHeight="1">
      <c r="A14" s="5" t="inlineStr">
        <is>
          <t>브랜드</t>
        </is>
      </c>
      <c r="B14" s="5" t="inlineStr">
        <is>
          <t>시크릿링크 광고비</t>
        </is>
      </c>
      <c r="C14" s="5" t="inlineStr">
        <is>
          <t>메타 보고 매출</t>
        </is>
      </c>
      <c r="D14" s="5" t="inlineStr">
        <is>
          <t>시크릿특가 실매출</t>
        </is>
      </c>
      <c r="E14" s="5" t="inlineStr">
        <is>
          <t>보고 ÷ 실매출</t>
        </is>
      </c>
      <c r="F14" s="5" t="inlineStr">
        <is>
          <t>보고 ROAS</t>
        </is>
      </c>
      <c r="G14" s="5" t="inlineStr">
        <is>
          <t>실매출 ROAS</t>
        </is>
      </c>
      <c r="H14" s="5" t="inlineStr">
        <is>
          <t>메타 자사몰 전체 광고비</t>
        </is>
      </c>
      <c r="I14" s="5" t="inlineStr">
        <is>
          <t>자사몰 브랜드 전체 매출</t>
        </is>
      </c>
      <c r="J14" s="5" t="inlineStr">
        <is>
          <t>자사몰 매출 ÷ 전체 광고비</t>
        </is>
      </c>
    </row>
    <row r="15">
      <c r="A15" s="6" t="inlineStr">
        <is>
          <t>아넬라</t>
        </is>
      </c>
      <c r="B15" s="22">
        <f>SUMIFS('데이터_광고'!$E$2:$E$500,'데이터_광고'!$A$2:$A$500,$A15,'데이터_광고'!$B$2:$B$500,"메타 자사몰",'데이터_광고'!$C$2:$C$500,"*시크릿링크*")/10000</f>
        <v/>
      </c>
      <c r="C15" s="22">
        <f>SUMIFS('데이터_광고'!$I$2:$I$500,'데이터_광고'!$A$2:$A$500,$A15,'데이터_광고'!$B$2:$B$500,"메타 자사몰",'데이터_광고'!$C$2:$C$500,"*시크릿링크*")/10000</f>
        <v/>
      </c>
      <c r="D15" s="22">
        <f>G7</f>
        <v/>
      </c>
      <c r="E15" s="48">
        <f>IF(D15=0,0,C15/D15)</f>
        <v/>
      </c>
      <c r="F15" s="8">
        <f>IF(B15=0,0,C15/B15)</f>
        <v/>
      </c>
      <c r="G15" s="8">
        <f>IF(B15=0,0,D15/B15)</f>
        <v/>
      </c>
      <c r="H15" s="22">
        <f>SUMIFS('데이터_광고'!$E$2:$E$500,'데이터_광고'!$A$2:$A$500,$A15,'데이터_광고'!$B$2:$B$500,"메타 자사몰")/10000</f>
        <v/>
      </c>
      <c r="I15" s="22">
        <f>F7</f>
        <v/>
      </c>
      <c r="J15" s="9">
        <f>IF(H15=0,0,I15/H15)</f>
        <v/>
      </c>
    </row>
    <row r="16">
      <c r="A16" s="6" t="inlineStr">
        <is>
          <t>로지오가닉</t>
        </is>
      </c>
      <c r="B16" s="22">
        <f>SUMIFS('데이터_광고'!$E$2:$E$500,'데이터_광고'!$A$2:$A$500,$A16,'데이터_광고'!$B$2:$B$500,"메타 자사몰",'데이터_광고'!$C$2:$C$500,"*시크릿링크*")/10000</f>
        <v/>
      </c>
      <c r="C16" s="22">
        <f>SUMIFS('데이터_광고'!$I$2:$I$500,'데이터_광고'!$A$2:$A$500,$A16,'데이터_광고'!$B$2:$B$500,"메타 자사몰",'데이터_광고'!$C$2:$C$500,"*시크릿링크*")/10000</f>
        <v/>
      </c>
      <c r="D16" s="22">
        <f>G8</f>
        <v/>
      </c>
      <c r="E16" s="48">
        <f>IF(D16=0,0,C16/D16)</f>
        <v/>
      </c>
      <c r="F16" s="8">
        <f>IF(B16=0,0,C16/B16)</f>
        <v/>
      </c>
      <c r="G16" s="8">
        <f>IF(B16=0,0,D16/B16)</f>
        <v/>
      </c>
      <c r="H16" s="22">
        <f>SUMIFS('데이터_광고'!$E$2:$E$500,'데이터_광고'!$A$2:$A$500,$A16,'데이터_광고'!$B$2:$B$500,"메타 자사몰")/10000</f>
        <v/>
      </c>
      <c r="I16" s="22">
        <f>F8</f>
        <v/>
      </c>
      <c r="J16" s="9">
        <f>IF(H16=0,0,I16/H16)</f>
        <v/>
      </c>
    </row>
    <row r="18" ht="40" customHeight="1">
      <c r="A18" s="21" t="inlineStr">
        <is>
          <t>시크릿링크 광고비는 캠페인명에 "시크릿링크"가 들어간 메타 자사몰 캠페인만 합산했습니다(아넬라 웰컴박스 제외). 메타 보고 매출이 실매출보다 큰 것은 귀속 기준 차이(조회 후 전환 등) 또는 환불·할인 반영 차이일 수 있으며, 판매합계가 쿠폰·할인을 반영한 실결제 기준인지는 확인이 필요합니다.</t>
        </is>
      </c>
    </row>
    <row r="20">
      <c r="A20" s="3" t="inlineStr">
        <is>
          <t>상품별 상위 (판매합계 순)</t>
        </is>
      </c>
    </row>
    <row r="21" ht="26" customHeight="1">
      <c r="A21" s="5" t="inlineStr">
        <is>
          <t>순위</t>
        </is>
      </c>
      <c r="B21" s="5" t="inlineStr">
        <is>
          <t>상품명</t>
        </is>
      </c>
      <c r="C21" s="49" t="n"/>
      <c r="D21" s="49" t="n"/>
      <c r="E21" s="50" t="n"/>
      <c r="F21" s="5" t="inlineStr">
        <is>
          <t>판매합계(만원)</t>
        </is>
      </c>
      <c r="G21" s="5" t="inlineStr">
        <is>
          <t>브랜드</t>
        </is>
      </c>
      <c r="H21" s="5" t="inlineStr">
        <is>
          <t>구분</t>
        </is>
      </c>
    </row>
    <row r="22">
      <c r="A22" s="19" t="n">
        <v>1</v>
      </c>
      <c r="B22" s="32">
        <f>'데이터_자사몰'!B4</f>
        <v/>
      </c>
      <c r="C22" s="49" t="n"/>
      <c r="D22" s="49" t="n"/>
      <c r="E22" s="50" t="n"/>
      <c r="F22" s="22">
        <f>'데이터_자사몰'!G4/10000</f>
        <v/>
      </c>
      <c r="G22" s="19">
        <f>'데이터_자사몰'!H4</f>
        <v/>
      </c>
      <c r="H22" s="19">
        <f>'데이터_자사몰'!I4</f>
        <v/>
      </c>
    </row>
    <row r="23">
      <c r="A23" s="19" t="n">
        <v>2</v>
      </c>
      <c r="B23" s="32">
        <f>'데이터_자사몰'!B2</f>
        <v/>
      </c>
      <c r="C23" s="49" t="n"/>
      <c r="D23" s="49" t="n"/>
      <c r="E23" s="50" t="n"/>
      <c r="F23" s="22">
        <f>'데이터_자사몰'!G2/10000</f>
        <v/>
      </c>
      <c r="G23" s="19">
        <f>'데이터_자사몰'!H2</f>
        <v/>
      </c>
      <c r="H23" s="19">
        <f>'데이터_자사몰'!I2</f>
        <v/>
      </c>
    </row>
    <row r="24">
      <c r="A24" s="19" t="n">
        <v>3</v>
      </c>
      <c r="B24" s="32">
        <f>'데이터_자사몰'!B3</f>
        <v/>
      </c>
      <c r="C24" s="49" t="n"/>
      <c r="D24" s="49" t="n"/>
      <c r="E24" s="50" t="n"/>
      <c r="F24" s="22">
        <f>'데이터_자사몰'!G3/10000</f>
        <v/>
      </c>
      <c r="G24" s="19">
        <f>'데이터_자사몰'!H3</f>
        <v/>
      </c>
      <c r="H24" s="19">
        <f>'데이터_자사몰'!I3</f>
        <v/>
      </c>
    </row>
    <row r="25">
      <c r="A25" s="19" t="n">
        <v>4</v>
      </c>
      <c r="B25" s="32">
        <f>'데이터_자사몰'!B9</f>
        <v/>
      </c>
      <c r="C25" s="49" t="n"/>
      <c r="D25" s="49" t="n"/>
      <c r="E25" s="50" t="n"/>
      <c r="F25" s="22">
        <f>'데이터_자사몰'!G9/10000</f>
        <v/>
      </c>
      <c r="G25" s="19">
        <f>'데이터_자사몰'!H9</f>
        <v/>
      </c>
      <c r="H25" s="19">
        <f>'데이터_자사몰'!I9</f>
        <v/>
      </c>
    </row>
    <row r="26">
      <c r="A26" s="19" t="n">
        <v>5</v>
      </c>
      <c r="B26" s="32">
        <f>'데이터_자사몰'!B8</f>
        <v/>
      </c>
      <c r="C26" s="49" t="n"/>
      <c r="D26" s="49" t="n"/>
      <c r="E26" s="50" t="n"/>
      <c r="F26" s="22">
        <f>'데이터_자사몰'!G8/10000</f>
        <v/>
      </c>
      <c r="G26" s="19">
        <f>'데이터_자사몰'!H8</f>
        <v/>
      </c>
      <c r="H26" s="19">
        <f>'데이터_자사몰'!I8</f>
        <v/>
      </c>
    </row>
    <row r="27">
      <c r="A27" s="19" t="n">
        <v>6</v>
      </c>
      <c r="B27" s="32">
        <f>'데이터_자사몰'!B10</f>
        <v/>
      </c>
      <c r="C27" s="49" t="n"/>
      <c r="D27" s="49" t="n"/>
      <c r="E27" s="50" t="n"/>
      <c r="F27" s="22">
        <f>'데이터_자사몰'!G10/10000</f>
        <v/>
      </c>
      <c r="G27" s="19">
        <f>'데이터_자사몰'!H10</f>
        <v/>
      </c>
      <c r="H27" s="19">
        <f>'데이터_자사몰'!I10</f>
        <v/>
      </c>
    </row>
    <row r="28">
      <c r="A28" s="19" t="n">
        <v>7</v>
      </c>
      <c r="B28" s="32">
        <f>'데이터_자사몰'!B6</f>
        <v/>
      </c>
      <c r="C28" s="49" t="n"/>
      <c r="D28" s="49" t="n"/>
      <c r="E28" s="50" t="n"/>
      <c r="F28" s="22">
        <f>'데이터_자사몰'!G6/10000</f>
        <v/>
      </c>
      <c r="G28" s="19">
        <f>'데이터_자사몰'!H6</f>
        <v/>
      </c>
      <c r="H28" s="19">
        <f>'데이터_자사몰'!I6</f>
        <v/>
      </c>
    </row>
    <row r="29">
      <c r="A29" s="19" t="n">
        <v>8</v>
      </c>
      <c r="B29" s="32">
        <f>'데이터_자사몰'!B17</f>
        <v/>
      </c>
      <c r="C29" s="49" t="n"/>
      <c r="D29" s="49" t="n"/>
      <c r="E29" s="50" t="n"/>
      <c r="F29" s="22">
        <f>'데이터_자사몰'!G17/10000</f>
        <v/>
      </c>
      <c r="G29" s="19">
        <f>'데이터_자사몰'!H17</f>
        <v/>
      </c>
      <c r="H29" s="19">
        <f>'데이터_자사몰'!I17</f>
        <v/>
      </c>
    </row>
    <row r="30">
      <c r="A30" s="19" t="n">
        <v>9</v>
      </c>
      <c r="B30" s="32">
        <f>'데이터_자사몰'!B14</f>
        <v/>
      </c>
      <c r="C30" s="49" t="n"/>
      <c r="D30" s="49" t="n"/>
      <c r="E30" s="50" t="n"/>
      <c r="F30" s="22">
        <f>'데이터_자사몰'!G14/10000</f>
        <v/>
      </c>
      <c r="G30" s="19">
        <f>'데이터_자사몰'!H14</f>
        <v/>
      </c>
      <c r="H30" s="19">
        <f>'데이터_자사몰'!I14</f>
        <v/>
      </c>
    </row>
    <row r="31">
      <c r="A31" s="19" t="n">
        <v>10</v>
      </c>
      <c r="B31" s="32">
        <f>'데이터_자사몰'!B7</f>
        <v/>
      </c>
      <c r="C31" s="49" t="n"/>
      <c r="D31" s="49" t="n"/>
      <c r="E31" s="50" t="n"/>
      <c r="F31" s="22">
        <f>'데이터_자사몰'!G7/10000</f>
        <v/>
      </c>
      <c r="G31" s="19">
        <f>'데이터_자사몰'!H7</f>
        <v/>
      </c>
      <c r="H31" s="19">
        <f>'데이터_자사몰'!I7</f>
        <v/>
      </c>
    </row>
  </sheetData>
  <mergeCells count="14">
    <mergeCell ref="B31:E31"/>
    <mergeCell ref="B23:E23"/>
    <mergeCell ref="B26:E26"/>
    <mergeCell ref="A18:K18"/>
    <mergeCell ref="B27:E27"/>
    <mergeCell ref="B21:E21"/>
    <mergeCell ref="B30:E30"/>
    <mergeCell ref="A2:K2"/>
    <mergeCell ref="A11:K11"/>
    <mergeCell ref="B29:E29"/>
    <mergeCell ref="B25:E25"/>
    <mergeCell ref="B24:E24"/>
    <mergeCell ref="B28:E28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I68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기간별 추이 (상시/행사 구분)</t>
        </is>
      </c>
    </row>
    <row r="2" ht="28" customHeight="1">
      <c r="A2" s="2" t="inlineStr">
        <is>
          <t>모든 값은 데이터 시트의 SUMIFS 수식입니다. 기간 구분은 가정 시트에서 바꿀 수 있습니다. 광고비에는 브랜드검색 정액(일할)이 포함됩니다.</t>
        </is>
      </c>
    </row>
    <row r="4">
      <c r="A4" s="3" t="inlineStr">
        <is>
          <t>아넬라</t>
        </is>
      </c>
      <c r="B4" s="21" t="inlineStr">
        <is>
          <t>기간별 광고 성과와 스마트스토어 매출</t>
        </is>
      </c>
    </row>
    <row r="5" ht="22" customHeight="1">
      <c r="A5" s="5" t="inlineStr">
        <is>
          <t>지표</t>
        </is>
      </c>
      <c r="B5" s="5">
        <f>'가정'!A50</f>
        <v/>
      </c>
      <c r="C5" s="5">
        <f>'가정'!A51</f>
        <v/>
      </c>
      <c r="D5" s="5">
        <f>'가정'!A52</f>
        <v/>
      </c>
      <c r="E5" s="5">
        <f>'가정'!A53</f>
        <v/>
      </c>
      <c r="F5" s="5">
        <f>'가정'!A54</f>
        <v/>
      </c>
      <c r="G5" s="5" t="inlineStr">
        <is>
          <t>10월 누계</t>
        </is>
      </c>
      <c r="H5" s="5" t="inlineStr">
        <is>
          <t>상시 구간</t>
        </is>
      </c>
      <c r="I5" s="5" t="inlineStr">
        <is>
          <t>행사 구간</t>
        </is>
      </c>
    </row>
    <row r="6">
      <c r="A6" s="32" t="inlineStr">
        <is>
          <t>기간</t>
        </is>
      </c>
      <c r="B6" s="19">
        <f>TEXT('가정'!B50,"m/d")&amp;"~"&amp;TEXT('가정'!C50,"m/d")</f>
        <v/>
      </c>
      <c r="C6" s="19">
        <f>TEXT('가정'!B51,"m/d")&amp;"~"&amp;TEXT('가정'!C51,"m/d")</f>
        <v/>
      </c>
      <c r="D6" s="19">
        <f>TEXT('가정'!B52,"m/d")&amp;"~"&amp;TEXT('가정'!C52,"m/d")</f>
        <v/>
      </c>
      <c r="E6" s="19">
        <f>TEXT('가정'!B53,"m/d")&amp;"~"&amp;TEXT('가정'!C53,"m/d")</f>
        <v/>
      </c>
      <c r="F6" s="19">
        <f>TEXT('가정'!B54,"m/d")&amp;"~"&amp;TEXT('가정'!C54,"m/d")</f>
        <v/>
      </c>
      <c r="G6" s="19">
        <f>TEXT('가정'!B5,"m/d")&amp;"~"&amp;TEXT('가정'!B6,"m/d")</f>
        <v/>
      </c>
      <c r="H6" s="19" t="inlineStr">
        <is>
          <t>상시</t>
        </is>
      </c>
      <c r="I6" s="19" t="inlineStr">
        <is>
          <t>행사</t>
        </is>
      </c>
    </row>
    <row r="7">
      <c r="A7" s="32" t="inlineStr">
        <is>
          <t>구분</t>
        </is>
      </c>
      <c r="B7" s="19">
        <f>'가정'!E50</f>
        <v/>
      </c>
      <c r="C7" s="19">
        <f>'가정'!E51</f>
        <v/>
      </c>
      <c r="D7" s="19">
        <f>'가정'!E52</f>
        <v/>
      </c>
      <c r="E7" s="19">
        <f>'가정'!E53</f>
        <v/>
      </c>
      <c r="F7" s="19">
        <f>'가정'!E54</f>
        <v/>
      </c>
      <c r="G7" s="19" t="inlineStr">
        <is>
          <t>-</t>
        </is>
      </c>
      <c r="H7" s="19" t="inlineStr">
        <is>
          <t>상시</t>
        </is>
      </c>
      <c r="I7" s="19" t="inlineStr">
        <is>
          <t>행사</t>
        </is>
      </c>
    </row>
    <row r="8">
      <c r="A8" s="32" t="inlineStr">
        <is>
          <t>일수</t>
        </is>
      </c>
      <c r="B8" s="7">
        <f>'가정'!D50</f>
        <v/>
      </c>
      <c r="C8" s="7">
        <f>'가정'!D51</f>
        <v/>
      </c>
      <c r="D8" s="7">
        <f>'가정'!D52</f>
        <v/>
      </c>
      <c r="E8" s="7">
        <f>'가정'!D53</f>
        <v/>
      </c>
      <c r="F8" s="7">
        <f>'가정'!D54</f>
        <v/>
      </c>
      <c r="G8" s="7">
        <f>SUM(B8:F8)</f>
        <v/>
      </c>
      <c r="H8" s="7">
        <f>SUMIF($B$7:$F$7,H$7,$B8:$F8)</f>
        <v/>
      </c>
      <c r="I8" s="7">
        <f>SUMIF($B$7:$F$7,I$7,$B8:$F8)</f>
        <v/>
      </c>
    </row>
    <row r="9">
      <c r="A9" s="32" t="inlineStr">
        <is>
          <t>광고비(원)</t>
        </is>
      </c>
      <c r="B9" s="7">
        <f>SUMIFS('데이터_광고'!$E$2:$E$500,'데이터_광고'!$A$2:$A$500,$A$4,'데이터_광고'!$D$2:$D$500,B$5)</f>
        <v/>
      </c>
      <c r="C9" s="7">
        <f>SUMIFS('데이터_광고'!$E$2:$E$500,'데이터_광고'!$A$2:$A$500,$A$4,'데이터_광고'!$D$2:$D$500,C$5)</f>
        <v/>
      </c>
      <c r="D9" s="7">
        <f>SUMIFS('데이터_광고'!$E$2:$E$500,'데이터_광고'!$A$2:$A$500,$A$4,'데이터_광고'!$D$2:$D$500,D$5)</f>
        <v/>
      </c>
      <c r="E9" s="7">
        <f>SUMIFS('데이터_광고'!$E$2:$E$500,'데이터_광고'!$A$2:$A$500,$A$4,'데이터_광고'!$D$2:$D$500,E$5)</f>
        <v/>
      </c>
      <c r="F9" s="7">
        <f>SUMIFS('데이터_광고'!$E$2:$E$500,'데이터_광고'!$A$2:$A$500,$A$4,'데이터_광고'!$D$2:$D$500,F$5)</f>
        <v/>
      </c>
      <c r="G9" s="7">
        <f>SUM(B9:F9)</f>
        <v/>
      </c>
      <c r="H9" s="7">
        <f>SUMIF($B$7:$F$7,H$7,$B9:$F9)</f>
        <v/>
      </c>
      <c r="I9" s="7">
        <f>SUMIF($B$7:$F$7,I$7,$B9:$F9)</f>
        <v/>
      </c>
    </row>
    <row r="10">
      <c r="A10" s="32" t="inlineStr">
        <is>
          <t>매출(원)</t>
        </is>
      </c>
      <c r="B10" s="7">
        <f>SUMIFS('데이터_광고'!$I$2:$I$500,'데이터_광고'!$A$2:$A$500,$A$4,'데이터_광고'!$D$2:$D$500,B$5)</f>
        <v/>
      </c>
      <c r="C10" s="7">
        <f>SUMIFS('데이터_광고'!$I$2:$I$500,'데이터_광고'!$A$2:$A$500,$A$4,'데이터_광고'!$D$2:$D$500,C$5)</f>
        <v/>
      </c>
      <c r="D10" s="7">
        <f>SUMIFS('데이터_광고'!$I$2:$I$500,'데이터_광고'!$A$2:$A$500,$A$4,'데이터_광고'!$D$2:$D$500,D$5)</f>
        <v/>
      </c>
      <c r="E10" s="7">
        <f>SUMIFS('데이터_광고'!$I$2:$I$500,'데이터_광고'!$A$2:$A$500,$A$4,'데이터_광고'!$D$2:$D$500,E$5)</f>
        <v/>
      </c>
      <c r="F10" s="7">
        <f>SUMIFS('데이터_광고'!$I$2:$I$500,'데이터_광고'!$A$2:$A$500,$A$4,'데이터_광고'!$D$2:$D$500,F$5)</f>
        <v/>
      </c>
      <c r="G10" s="7">
        <f>SUM(B10:F10)</f>
        <v/>
      </c>
      <c r="H10" s="7">
        <f>SUMIF($B$7:$F$7,H$7,$B10:$F10)</f>
        <v/>
      </c>
      <c r="I10" s="7">
        <f>SUMIF($B$7:$F$7,I$7,$B10:$F10)</f>
        <v/>
      </c>
    </row>
    <row r="11">
      <c r="A11" s="32" t="inlineStr">
        <is>
          <t>ROAS</t>
        </is>
      </c>
      <c r="B11" s="8">
        <f>IF(B9=0,0,B10/B9)</f>
        <v/>
      </c>
      <c r="C11" s="8">
        <f>IF(C9=0,0,C10/C9)</f>
        <v/>
      </c>
      <c r="D11" s="8">
        <f>IF(D9=0,0,D10/D9)</f>
        <v/>
      </c>
      <c r="E11" s="8">
        <f>IF(E9=0,0,E10/E9)</f>
        <v/>
      </c>
      <c r="F11" s="8">
        <f>IF(F9=0,0,F10/F9)</f>
        <v/>
      </c>
      <c r="G11" s="8">
        <f>IF(G9=0,0,G10/G9)</f>
        <v/>
      </c>
      <c r="H11" s="8">
        <f>IF(H9=0,0,H10/H9)</f>
        <v/>
      </c>
      <c r="I11" s="8">
        <f>IF(I9=0,0,I10/I9)</f>
        <v/>
      </c>
    </row>
    <row r="12">
      <c r="A12" s="32" t="inlineStr">
        <is>
          <t>구매(건)</t>
        </is>
      </c>
      <c r="B12" s="7">
        <f>SUMIFS('데이터_광고'!$H$2:$H$500,'데이터_광고'!$A$2:$A$500,$A$4,'데이터_광고'!$D$2:$D$500,B$5)</f>
        <v/>
      </c>
      <c r="C12" s="7">
        <f>SUMIFS('데이터_광고'!$H$2:$H$500,'데이터_광고'!$A$2:$A$500,$A$4,'데이터_광고'!$D$2:$D$500,C$5)</f>
        <v/>
      </c>
      <c r="D12" s="7">
        <f>SUMIFS('데이터_광고'!$H$2:$H$500,'데이터_광고'!$A$2:$A$500,$A$4,'데이터_광고'!$D$2:$D$500,D$5)</f>
        <v/>
      </c>
      <c r="E12" s="7">
        <f>SUMIFS('데이터_광고'!$H$2:$H$500,'데이터_광고'!$A$2:$A$500,$A$4,'데이터_광고'!$D$2:$D$500,E$5)</f>
        <v/>
      </c>
      <c r="F12" s="7">
        <f>SUMIFS('데이터_광고'!$H$2:$H$500,'데이터_광고'!$A$2:$A$500,$A$4,'데이터_광고'!$D$2:$D$500,F$5)</f>
        <v/>
      </c>
      <c r="G12" s="7">
        <f>SUM(B12:F12)</f>
        <v/>
      </c>
      <c r="H12" s="7">
        <f>SUMIF($B$7:$F$7,H$7,$B12:$F12)</f>
        <v/>
      </c>
      <c r="I12" s="7">
        <f>SUMIF($B$7:$F$7,I$7,$B12:$F12)</f>
        <v/>
      </c>
    </row>
    <row r="13">
      <c r="A13" s="32" t="inlineStr">
        <is>
          <t>클릭</t>
        </is>
      </c>
      <c r="B13" s="7">
        <f>SUMIFS('데이터_광고'!$G$2:$G$500,'데이터_광고'!$A$2:$A$500,$A$4,'데이터_광고'!$D$2:$D$500,B$5)</f>
        <v/>
      </c>
      <c r="C13" s="7">
        <f>SUMIFS('데이터_광고'!$G$2:$G$500,'데이터_광고'!$A$2:$A$500,$A$4,'데이터_광고'!$D$2:$D$500,C$5)</f>
        <v/>
      </c>
      <c r="D13" s="7">
        <f>SUMIFS('데이터_광고'!$G$2:$G$500,'데이터_광고'!$A$2:$A$500,$A$4,'데이터_광고'!$D$2:$D$500,D$5)</f>
        <v/>
      </c>
      <c r="E13" s="7">
        <f>SUMIFS('데이터_광고'!$G$2:$G$500,'데이터_광고'!$A$2:$A$500,$A$4,'데이터_광고'!$D$2:$D$500,E$5)</f>
        <v/>
      </c>
      <c r="F13" s="7">
        <f>SUMIFS('데이터_광고'!$G$2:$G$500,'데이터_광고'!$A$2:$A$500,$A$4,'데이터_광고'!$D$2:$D$500,F$5)</f>
        <v/>
      </c>
      <c r="G13" s="7">
        <f>SUM(B13:F13)</f>
        <v/>
      </c>
      <c r="H13" s="7">
        <f>SUMIF($B$7:$F$7,H$7,$B13:$F13)</f>
        <v/>
      </c>
      <c r="I13" s="7">
        <f>SUMIF($B$7:$F$7,I$7,$B13:$F13)</f>
        <v/>
      </c>
    </row>
    <row r="14">
      <c r="A14" s="32" t="inlineStr">
        <is>
          <t>객단가(원)</t>
        </is>
      </c>
      <c r="B14" s="7">
        <f>IF(B12=0,0,B10/B12)</f>
        <v/>
      </c>
      <c r="C14" s="7">
        <f>IF(C12=0,0,C10/C12)</f>
        <v/>
      </c>
      <c r="D14" s="7">
        <f>IF(D12=0,0,D10/D12)</f>
        <v/>
      </c>
      <c r="E14" s="7">
        <f>IF(E12=0,0,E10/E12)</f>
        <v/>
      </c>
      <c r="F14" s="7">
        <f>IF(F12=0,0,F10/F12)</f>
        <v/>
      </c>
      <c r="G14" s="7">
        <f>IF(G12=0,0,G10/G12)</f>
        <v/>
      </c>
      <c r="H14" s="7">
        <f>IF(H12=0,0,H10/H12)</f>
        <v/>
      </c>
      <c r="I14" s="7">
        <f>IF(I12=0,0,I10/I12)</f>
        <v/>
      </c>
    </row>
    <row r="15">
      <c r="A15" s="32" t="inlineStr">
        <is>
          <t>일평균 광고비(원)</t>
        </is>
      </c>
      <c r="B15" s="7">
        <f>IF(B8=0,0,B9/B8)</f>
        <v/>
      </c>
      <c r="C15" s="7">
        <f>IF(C8=0,0,C9/C8)</f>
        <v/>
      </c>
      <c r="D15" s="7">
        <f>IF(D8=0,0,D9/D8)</f>
        <v/>
      </c>
      <c r="E15" s="7">
        <f>IF(E8=0,0,E9/E8)</f>
        <v/>
      </c>
      <c r="F15" s="7">
        <f>IF(F8=0,0,F9/F8)</f>
        <v/>
      </c>
      <c r="G15" s="7">
        <f>IF(G8=0,0,G9/G8)</f>
        <v/>
      </c>
      <c r="H15" s="7">
        <f>IF(H8=0,0,H9/H8)</f>
        <v/>
      </c>
      <c r="I15" s="7">
        <f>IF(I8=0,0,I9/I8)</f>
        <v/>
      </c>
    </row>
    <row r="16">
      <c r="A16" s="32" t="inlineStr">
        <is>
          <t>일평균 매출(원)</t>
        </is>
      </c>
      <c r="B16" s="7">
        <f>IF(B8=0,0,B10/B8)</f>
        <v/>
      </c>
      <c r="C16" s="7">
        <f>IF(C8=0,0,C10/C8)</f>
        <v/>
      </c>
      <c r="D16" s="7">
        <f>IF(D8=0,0,D10/D8)</f>
        <v/>
      </c>
      <c r="E16" s="7">
        <f>IF(E8=0,0,E10/E8)</f>
        <v/>
      </c>
      <c r="F16" s="7">
        <f>IF(F8=0,0,F10/F8)</f>
        <v/>
      </c>
      <c r="G16" s="7">
        <f>IF(G8=0,0,G10/G8)</f>
        <v/>
      </c>
      <c r="H16" s="7">
        <f>IF(H8=0,0,H10/H8)</f>
        <v/>
      </c>
      <c r="I16" s="7">
        <f>IF(I8=0,0,I10/I8)</f>
        <v/>
      </c>
    </row>
    <row r="17">
      <c r="A17" s="32" t="inlineStr">
        <is>
          <t>스마트스토어 일반상품 순매출(원)</t>
        </is>
      </c>
      <c r="B17" s="7">
        <f>SUMIFS('데이터_SS일별'!$F$2:$F$400,'데이터_SS일별'!$A$2:$A$400,$A$4,'데이터_SS일별'!$C$2:$C$400,"일반",'데이터_SS일별'!$B$2:$B$400,"&gt;="&amp;'가정'!B50,'데이터_SS일별'!$B$2:$B$400,"&lt;="&amp;'가정'!C50)</f>
        <v/>
      </c>
      <c r="C17" s="7">
        <f>SUMIFS('데이터_SS일별'!$F$2:$F$400,'데이터_SS일별'!$A$2:$A$400,$A$4,'데이터_SS일별'!$C$2:$C$400,"일반",'데이터_SS일별'!$B$2:$B$400,"&gt;="&amp;'가정'!B51,'데이터_SS일별'!$B$2:$B$400,"&lt;="&amp;'가정'!C51)</f>
        <v/>
      </c>
      <c r="D17" s="7">
        <f>SUMIFS('데이터_SS일별'!$F$2:$F$400,'데이터_SS일별'!$A$2:$A$400,$A$4,'데이터_SS일별'!$C$2:$C$400,"일반",'데이터_SS일별'!$B$2:$B$400,"&gt;="&amp;'가정'!B52,'데이터_SS일별'!$B$2:$B$400,"&lt;="&amp;'가정'!C52)</f>
        <v/>
      </c>
      <c r="E17" s="7">
        <f>SUMIFS('데이터_SS일별'!$F$2:$F$400,'데이터_SS일별'!$A$2:$A$400,$A$4,'데이터_SS일별'!$C$2:$C$400,"일반",'데이터_SS일별'!$B$2:$B$400,"&gt;="&amp;'가정'!B53,'데이터_SS일별'!$B$2:$B$400,"&lt;="&amp;'가정'!C53)</f>
        <v/>
      </c>
      <c r="F17" s="7">
        <f>SUMIFS('데이터_SS일별'!$F$2:$F$400,'데이터_SS일별'!$A$2:$A$400,$A$4,'데이터_SS일별'!$C$2:$C$400,"일반",'데이터_SS일별'!$B$2:$B$400,"&gt;="&amp;'가정'!B54,'데이터_SS일별'!$B$2:$B$400,"&lt;="&amp;'가정'!C54)</f>
        <v/>
      </c>
      <c r="G17" s="7">
        <f>SUM(B17:F17)</f>
        <v/>
      </c>
      <c r="H17" s="7">
        <f>SUMIF($B$7:$F$7,H$7,$B17:$F17)</f>
        <v/>
      </c>
      <c r="I17" s="7">
        <f>SUMIF($B$7:$F$7,I$7,$B17:$F17)</f>
        <v/>
      </c>
    </row>
    <row r="18">
      <c r="A18" s="32" t="inlineStr">
        <is>
          <t>(참고) 공동구매 순매출, 집계 제외분(원)</t>
        </is>
      </c>
      <c r="B18" s="7">
        <f>SUMIFS('데이터_SS일별'!$F$2:$F$400,'데이터_SS일별'!$A$2:$A$400,$A$4,'데이터_SS일별'!$C$2:$C$400,"공구",'데이터_SS일별'!$B$2:$B$400,"&gt;="&amp;'가정'!B50,'데이터_SS일별'!$B$2:$B$400,"&lt;="&amp;'가정'!C50)</f>
        <v/>
      </c>
      <c r="C18" s="7">
        <f>SUMIFS('데이터_SS일별'!$F$2:$F$400,'데이터_SS일별'!$A$2:$A$400,$A$4,'데이터_SS일별'!$C$2:$C$400,"공구",'데이터_SS일별'!$B$2:$B$400,"&gt;="&amp;'가정'!B51,'데이터_SS일별'!$B$2:$B$400,"&lt;="&amp;'가정'!C51)</f>
        <v/>
      </c>
      <c r="D18" s="7">
        <f>SUMIFS('데이터_SS일별'!$F$2:$F$400,'데이터_SS일별'!$A$2:$A$400,$A$4,'데이터_SS일별'!$C$2:$C$400,"공구",'데이터_SS일별'!$B$2:$B$400,"&gt;="&amp;'가정'!B52,'데이터_SS일별'!$B$2:$B$400,"&lt;="&amp;'가정'!C52)</f>
        <v/>
      </c>
      <c r="E18" s="7">
        <f>SUMIFS('데이터_SS일별'!$F$2:$F$400,'데이터_SS일별'!$A$2:$A$400,$A$4,'데이터_SS일별'!$C$2:$C$400,"공구",'데이터_SS일별'!$B$2:$B$400,"&gt;="&amp;'가정'!B53,'데이터_SS일별'!$B$2:$B$400,"&lt;="&amp;'가정'!C53)</f>
        <v/>
      </c>
      <c r="F18" s="7">
        <f>SUMIFS('데이터_SS일별'!$F$2:$F$400,'데이터_SS일별'!$A$2:$A$400,$A$4,'데이터_SS일별'!$C$2:$C$400,"공구",'데이터_SS일별'!$B$2:$B$400,"&gt;="&amp;'가정'!B54,'데이터_SS일별'!$B$2:$B$400,"&lt;="&amp;'가정'!C54)</f>
        <v/>
      </c>
      <c r="G18" s="7">
        <f>SUM(B18:F18)</f>
        <v/>
      </c>
      <c r="H18" s="7">
        <f>SUMIF($B$7:$F$7,H$7,$B18:$F18)</f>
        <v/>
      </c>
      <c r="I18" s="7">
        <f>SUMIF($B$7:$F$7,I$7,$B18:$F18)</f>
        <v/>
      </c>
    </row>
    <row r="19">
      <c r="A19" s="32" t="inlineStr">
        <is>
          <t>스스향 광고비(원, 메타 자사몰 제외)</t>
        </is>
      </c>
      <c r="B19" s="7">
        <f>B9-SUMIFS('데이터_광고'!$E$2:$E$500,'데이터_광고'!$A$2:$A$500,$A$4,'데이터_광고'!$D$2:$D$500,B$5,'데이터_광고'!$B$2:$B$500,"메타 자사몰")</f>
        <v/>
      </c>
      <c r="C19" s="7">
        <f>C9-SUMIFS('데이터_광고'!$E$2:$E$500,'데이터_광고'!$A$2:$A$500,$A$4,'데이터_광고'!$D$2:$D$500,C$5,'데이터_광고'!$B$2:$B$500,"메타 자사몰")</f>
        <v/>
      </c>
      <c r="D19" s="7">
        <f>D9-SUMIFS('데이터_광고'!$E$2:$E$500,'데이터_광고'!$A$2:$A$500,$A$4,'데이터_광고'!$D$2:$D$500,D$5,'데이터_광고'!$B$2:$B$500,"메타 자사몰")</f>
        <v/>
      </c>
      <c r="E19" s="7">
        <f>E9-SUMIFS('데이터_광고'!$E$2:$E$500,'데이터_광고'!$A$2:$A$500,$A$4,'데이터_광고'!$D$2:$D$500,E$5,'데이터_광고'!$B$2:$B$500,"메타 자사몰")</f>
        <v/>
      </c>
      <c r="F19" s="7">
        <f>F9-SUMIFS('데이터_광고'!$E$2:$E$500,'데이터_광고'!$A$2:$A$500,$A$4,'데이터_광고'!$D$2:$D$500,F$5,'데이터_광고'!$B$2:$B$500,"메타 자사몰")</f>
        <v/>
      </c>
      <c r="G19" s="7">
        <f>SUM(B19:F19)</f>
        <v/>
      </c>
      <c r="H19" s="7">
        <f>SUMIF($B$7:$F$7,H$7,$B19:$F19)</f>
        <v/>
      </c>
      <c r="I19" s="7">
        <f>SUMIF($B$7:$F$7,I$7,$B19:$F19)</f>
        <v/>
      </c>
    </row>
    <row r="20">
      <c r="A20" s="32" t="inlineStr">
        <is>
          <t>스마트스토어 통합 ROAS (순매출÷스스향 광고비)</t>
        </is>
      </c>
      <c r="B20" s="8">
        <f>IF(B19=0,0,B17/B19)</f>
        <v/>
      </c>
      <c r="C20" s="8">
        <f>IF(C19=0,0,C17/C19)</f>
        <v/>
      </c>
      <c r="D20" s="8">
        <f>IF(D19=0,0,D17/D19)</f>
        <v/>
      </c>
      <c r="E20" s="8">
        <f>IF(E19=0,0,E17/E19)</f>
        <v/>
      </c>
      <c r="F20" s="8">
        <f>IF(F19=0,0,F17/F19)</f>
        <v/>
      </c>
      <c r="G20" s="8">
        <f>IF(G19=0,0,G17/G19)</f>
        <v/>
      </c>
      <c r="H20" s="8">
        <f>IF(H19=0,0,H17/H19)</f>
        <v/>
      </c>
      <c r="I20" s="8">
        <f>IF(I19=0,0,I17/I19)</f>
        <v/>
      </c>
    </row>
    <row r="25">
      <c r="A25" s="3" t="inlineStr">
        <is>
          <t>로지오가닉</t>
        </is>
      </c>
      <c r="B25" s="21" t="inlineStr">
        <is>
          <t>기간별 광고 성과와 스마트스토어 매출</t>
        </is>
      </c>
    </row>
    <row r="26" ht="22" customHeight="1">
      <c r="A26" s="5" t="inlineStr">
        <is>
          <t>지표</t>
        </is>
      </c>
      <c r="B26" s="5">
        <f>'가정'!A50</f>
        <v/>
      </c>
      <c r="C26" s="5">
        <f>'가정'!A51</f>
        <v/>
      </c>
      <c r="D26" s="5">
        <f>'가정'!A52</f>
        <v/>
      </c>
      <c r="E26" s="5">
        <f>'가정'!A53</f>
        <v/>
      </c>
      <c r="F26" s="5">
        <f>'가정'!A54</f>
        <v/>
      </c>
      <c r="G26" s="5" t="inlineStr">
        <is>
          <t>10월 누계</t>
        </is>
      </c>
      <c r="H26" s="5" t="inlineStr">
        <is>
          <t>상시 구간</t>
        </is>
      </c>
      <c r="I26" s="5" t="inlineStr">
        <is>
          <t>행사 구간</t>
        </is>
      </c>
    </row>
    <row r="27">
      <c r="A27" s="32" t="inlineStr">
        <is>
          <t>기간</t>
        </is>
      </c>
      <c r="B27" s="19">
        <f>TEXT('가정'!B50,"m/d")&amp;"~"&amp;TEXT('가정'!C50,"m/d")</f>
        <v/>
      </c>
      <c r="C27" s="19">
        <f>TEXT('가정'!B51,"m/d")&amp;"~"&amp;TEXT('가정'!C51,"m/d")</f>
        <v/>
      </c>
      <c r="D27" s="19">
        <f>TEXT('가정'!B52,"m/d")&amp;"~"&amp;TEXT('가정'!C52,"m/d")</f>
        <v/>
      </c>
      <c r="E27" s="19">
        <f>TEXT('가정'!B53,"m/d")&amp;"~"&amp;TEXT('가정'!C53,"m/d")</f>
        <v/>
      </c>
      <c r="F27" s="19">
        <f>TEXT('가정'!B54,"m/d")&amp;"~"&amp;TEXT('가정'!C54,"m/d")</f>
        <v/>
      </c>
      <c r="G27" s="19">
        <f>TEXT('가정'!B5,"m/d")&amp;"~"&amp;TEXT('가정'!B6,"m/d")</f>
        <v/>
      </c>
      <c r="H27" s="19" t="inlineStr">
        <is>
          <t>상시</t>
        </is>
      </c>
      <c r="I27" s="19" t="inlineStr">
        <is>
          <t>행사</t>
        </is>
      </c>
    </row>
    <row r="28">
      <c r="A28" s="32" t="inlineStr">
        <is>
          <t>구분</t>
        </is>
      </c>
      <c r="B28" s="19">
        <f>'가정'!E50</f>
        <v/>
      </c>
      <c r="C28" s="19">
        <f>'가정'!E51</f>
        <v/>
      </c>
      <c r="D28" s="19">
        <f>'가정'!E52</f>
        <v/>
      </c>
      <c r="E28" s="19">
        <f>'가정'!E53</f>
        <v/>
      </c>
      <c r="F28" s="19">
        <f>'가정'!E54</f>
        <v/>
      </c>
      <c r="G28" s="19" t="inlineStr">
        <is>
          <t>-</t>
        </is>
      </c>
      <c r="H28" s="19" t="inlineStr">
        <is>
          <t>상시</t>
        </is>
      </c>
      <c r="I28" s="19" t="inlineStr">
        <is>
          <t>행사</t>
        </is>
      </c>
    </row>
    <row r="29">
      <c r="A29" s="32" t="inlineStr">
        <is>
          <t>일수</t>
        </is>
      </c>
      <c r="B29" s="7">
        <f>'가정'!D50</f>
        <v/>
      </c>
      <c r="C29" s="7">
        <f>'가정'!D51</f>
        <v/>
      </c>
      <c r="D29" s="7">
        <f>'가정'!D52</f>
        <v/>
      </c>
      <c r="E29" s="7">
        <f>'가정'!D53</f>
        <v/>
      </c>
      <c r="F29" s="7">
        <f>'가정'!D54</f>
        <v/>
      </c>
      <c r="G29" s="7">
        <f>SUM(B29:F29)</f>
        <v/>
      </c>
      <c r="H29" s="7">
        <f>SUMIF($B$28:$F$28,H$28,$B29:$F29)</f>
        <v/>
      </c>
      <c r="I29" s="7">
        <f>SUMIF($B$28:$F$28,I$28,$B29:$F29)</f>
        <v/>
      </c>
    </row>
    <row r="30">
      <c r="A30" s="32" t="inlineStr">
        <is>
          <t>광고비(원)</t>
        </is>
      </c>
      <c r="B30" s="7">
        <f>SUMIFS('데이터_광고'!$E$2:$E$500,'데이터_광고'!$A$2:$A$500,$A$25,'데이터_광고'!$D$2:$D$500,B$26)</f>
        <v/>
      </c>
      <c r="C30" s="7">
        <f>SUMIFS('데이터_광고'!$E$2:$E$500,'데이터_광고'!$A$2:$A$500,$A$25,'데이터_광고'!$D$2:$D$500,C$26)</f>
        <v/>
      </c>
      <c r="D30" s="7">
        <f>SUMIFS('데이터_광고'!$E$2:$E$500,'데이터_광고'!$A$2:$A$500,$A$25,'데이터_광고'!$D$2:$D$500,D$26)</f>
        <v/>
      </c>
      <c r="E30" s="7">
        <f>SUMIFS('데이터_광고'!$E$2:$E$500,'데이터_광고'!$A$2:$A$500,$A$25,'데이터_광고'!$D$2:$D$500,E$26)</f>
        <v/>
      </c>
      <c r="F30" s="7">
        <f>SUMIFS('데이터_광고'!$E$2:$E$500,'데이터_광고'!$A$2:$A$500,$A$25,'데이터_광고'!$D$2:$D$500,F$26)</f>
        <v/>
      </c>
      <c r="G30" s="7">
        <f>SUM(B30:F30)</f>
        <v/>
      </c>
      <c r="H30" s="7">
        <f>SUMIF($B$28:$F$28,H$28,$B30:$F30)</f>
        <v/>
      </c>
      <c r="I30" s="7">
        <f>SUMIF($B$28:$F$28,I$28,$B30:$F30)</f>
        <v/>
      </c>
    </row>
    <row r="31">
      <c r="A31" s="32" t="inlineStr">
        <is>
          <t>매출(원)</t>
        </is>
      </c>
      <c r="B31" s="7">
        <f>SUMIFS('데이터_광고'!$I$2:$I$500,'데이터_광고'!$A$2:$A$500,$A$25,'데이터_광고'!$D$2:$D$500,B$26)</f>
        <v/>
      </c>
      <c r="C31" s="7">
        <f>SUMIFS('데이터_광고'!$I$2:$I$500,'데이터_광고'!$A$2:$A$500,$A$25,'데이터_광고'!$D$2:$D$500,C$26)</f>
        <v/>
      </c>
      <c r="D31" s="7">
        <f>SUMIFS('데이터_광고'!$I$2:$I$500,'데이터_광고'!$A$2:$A$500,$A$25,'데이터_광고'!$D$2:$D$500,D$26)</f>
        <v/>
      </c>
      <c r="E31" s="7">
        <f>SUMIFS('데이터_광고'!$I$2:$I$500,'데이터_광고'!$A$2:$A$500,$A$25,'데이터_광고'!$D$2:$D$500,E$26)</f>
        <v/>
      </c>
      <c r="F31" s="7">
        <f>SUMIFS('데이터_광고'!$I$2:$I$500,'데이터_광고'!$A$2:$A$500,$A$25,'데이터_광고'!$D$2:$D$500,F$26)</f>
        <v/>
      </c>
      <c r="G31" s="7">
        <f>SUM(B31:F31)</f>
        <v/>
      </c>
      <c r="H31" s="7">
        <f>SUMIF($B$28:$F$28,H$28,$B31:$F31)</f>
        <v/>
      </c>
      <c r="I31" s="7">
        <f>SUMIF($B$28:$F$28,I$28,$B31:$F31)</f>
        <v/>
      </c>
    </row>
    <row r="32">
      <c r="A32" s="32" t="inlineStr">
        <is>
          <t>ROAS</t>
        </is>
      </c>
      <c r="B32" s="8">
        <f>IF(B30=0,0,B31/B30)</f>
        <v/>
      </c>
      <c r="C32" s="8">
        <f>IF(C30=0,0,C31/C30)</f>
        <v/>
      </c>
      <c r="D32" s="8">
        <f>IF(D30=0,0,D31/D30)</f>
        <v/>
      </c>
      <c r="E32" s="8">
        <f>IF(E30=0,0,E31/E30)</f>
        <v/>
      </c>
      <c r="F32" s="8">
        <f>IF(F30=0,0,F31/F30)</f>
        <v/>
      </c>
      <c r="G32" s="8">
        <f>IF(G30=0,0,G31/G30)</f>
        <v/>
      </c>
      <c r="H32" s="8">
        <f>IF(H30=0,0,H31/H30)</f>
        <v/>
      </c>
      <c r="I32" s="8">
        <f>IF(I30=0,0,I31/I30)</f>
        <v/>
      </c>
    </row>
    <row r="33">
      <c r="A33" s="32" t="inlineStr">
        <is>
          <t>구매(건)</t>
        </is>
      </c>
      <c r="B33" s="7">
        <f>SUMIFS('데이터_광고'!$H$2:$H$500,'데이터_광고'!$A$2:$A$500,$A$25,'데이터_광고'!$D$2:$D$500,B$26)</f>
        <v/>
      </c>
      <c r="C33" s="7">
        <f>SUMIFS('데이터_광고'!$H$2:$H$500,'데이터_광고'!$A$2:$A$500,$A$25,'데이터_광고'!$D$2:$D$500,C$26)</f>
        <v/>
      </c>
      <c r="D33" s="7">
        <f>SUMIFS('데이터_광고'!$H$2:$H$500,'데이터_광고'!$A$2:$A$500,$A$25,'데이터_광고'!$D$2:$D$500,D$26)</f>
        <v/>
      </c>
      <c r="E33" s="7">
        <f>SUMIFS('데이터_광고'!$H$2:$H$500,'데이터_광고'!$A$2:$A$500,$A$25,'데이터_광고'!$D$2:$D$500,E$26)</f>
        <v/>
      </c>
      <c r="F33" s="7">
        <f>SUMIFS('데이터_광고'!$H$2:$H$500,'데이터_광고'!$A$2:$A$500,$A$25,'데이터_광고'!$D$2:$D$500,F$26)</f>
        <v/>
      </c>
      <c r="G33" s="7">
        <f>SUM(B33:F33)</f>
        <v/>
      </c>
      <c r="H33" s="7">
        <f>SUMIF($B$28:$F$28,H$28,$B33:$F33)</f>
        <v/>
      </c>
      <c r="I33" s="7">
        <f>SUMIF($B$28:$F$28,I$28,$B33:$F33)</f>
        <v/>
      </c>
    </row>
    <row r="34">
      <c r="A34" s="32" t="inlineStr">
        <is>
          <t>클릭</t>
        </is>
      </c>
      <c r="B34" s="7">
        <f>SUMIFS('데이터_광고'!$G$2:$G$500,'데이터_광고'!$A$2:$A$500,$A$25,'데이터_광고'!$D$2:$D$500,B$26)</f>
        <v/>
      </c>
      <c r="C34" s="7">
        <f>SUMIFS('데이터_광고'!$G$2:$G$500,'데이터_광고'!$A$2:$A$500,$A$25,'데이터_광고'!$D$2:$D$500,C$26)</f>
        <v/>
      </c>
      <c r="D34" s="7">
        <f>SUMIFS('데이터_광고'!$G$2:$G$500,'데이터_광고'!$A$2:$A$500,$A$25,'데이터_광고'!$D$2:$D$500,D$26)</f>
        <v/>
      </c>
      <c r="E34" s="7">
        <f>SUMIFS('데이터_광고'!$G$2:$G$500,'데이터_광고'!$A$2:$A$500,$A$25,'데이터_광고'!$D$2:$D$500,E$26)</f>
        <v/>
      </c>
      <c r="F34" s="7">
        <f>SUMIFS('데이터_광고'!$G$2:$G$500,'데이터_광고'!$A$2:$A$500,$A$25,'데이터_광고'!$D$2:$D$500,F$26)</f>
        <v/>
      </c>
      <c r="G34" s="7">
        <f>SUM(B34:F34)</f>
        <v/>
      </c>
      <c r="H34" s="7">
        <f>SUMIF($B$28:$F$28,H$28,$B34:$F34)</f>
        <v/>
      </c>
      <c r="I34" s="7">
        <f>SUMIF($B$28:$F$28,I$28,$B34:$F34)</f>
        <v/>
      </c>
    </row>
    <row r="35">
      <c r="A35" s="32" t="inlineStr">
        <is>
          <t>객단가(원)</t>
        </is>
      </c>
      <c r="B35" s="7">
        <f>IF(B33=0,0,B31/B33)</f>
        <v/>
      </c>
      <c r="C35" s="7">
        <f>IF(C33=0,0,C31/C33)</f>
        <v/>
      </c>
      <c r="D35" s="7">
        <f>IF(D33=0,0,D31/D33)</f>
        <v/>
      </c>
      <c r="E35" s="7">
        <f>IF(E33=0,0,E31/E33)</f>
        <v/>
      </c>
      <c r="F35" s="7">
        <f>IF(F33=0,0,F31/F33)</f>
        <v/>
      </c>
      <c r="G35" s="7">
        <f>IF(G33=0,0,G31/G33)</f>
        <v/>
      </c>
      <c r="H35" s="7">
        <f>IF(H33=0,0,H31/H33)</f>
        <v/>
      </c>
      <c r="I35" s="7">
        <f>IF(I33=0,0,I31/I33)</f>
        <v/>
      </c>
    </row>
    <row r="36">
      <c r="A36" s="32" t="inlineStr">
        <is>
          <t>일평균 광고비(원)</t>
        </is>
      </c>
      <c r="B36" s="7">
        <f>IF(B29=0,0,B30/B29)</f>
        <v/>
      </c>
      <c r="C36" s="7">
        <f>IF(C29=0,0,C30/C29)</f>
        <v/>
      </c>
      <c r="D36" s="7">
        <f>IF(D29=0,0,D30/D29)</f>
        <v/>
      </c>
      <c r="E36" s="7">
        <f>IF(E29=0,0,E30/E29)</f>
        <v/>
      </c>
      <c r="F36" s="7">
        <f>IF(F29=0,0,F30/F29)</f>
        <v/>
      </c>
      <c r="G36" s="7">
        <f>IF(G29=0,0,G30/G29)</f>
        <v/>
      </c>
      <c r="H36" s="7">
        <f>IF(H29=0,0,H30/H29)</f>
        <v/>
      </c>
      <c r="I36" s="7">
        <f>IF(I29=0,0,I30/I29)</f>
        <v/>
      </c>
    </row>
    <row r="37">
      <c r="A37" s="32" t="inlineStr">
        <is>
          <t>일평균 매출(원)</t>
        </is>
      </c>
      <c r="B37" s="7">
        <f>IF(B29=0,0,B31/B29)</f>
        <v/>
      </c>
      <c r="C37" s="7">
        <f>IF(C29=0,0,C31/C29)</f>
        <v/>
      </c>
      <c r="D37" s="7">
        <f>IF(D29=0,0,D31/D29)</f>
        <v/>
      </c>
      <c r="E37" s="7">
        <f>IF(E29=0,0,E31/E29)</f>
        <v/>
      </c>
      <c r="F37" s="7">
        <f>IF(F29=0,0,F31/F29)</f>
        <v/>
      </c>
      <c r="G37" s="7">
        <f>IF(G29=0,0,G31/G29)</f>
        <v/>
      </c>
      <c r="H37" s="7">
        <f>IF(H29=0,0,H31/H29)</f>
        <v/>
      </c>
      <c r="I37" s="7">
        <f>IF(I29=0,0,I31/I29)</f>
        <v/>
      </c>
    </row>
    <row r="38">
      <c r="A38" s="32" t="inlineStr">
        <is>
          <t>스마트스토어 일반상품 순매출(원)</t>
        </is>
      </c>
      <c r="B38" s="7">
        <f>SUMIFS('데이터_SS일별'!$F$2:$F$400,'데이터_SS일별'!$A$2:$A$400,$A$25,'데이터_SS일별'!$C$2:$C$400,"일반",'데이터_SS일별'!$B$2:$B$400,"&gt;="&amp;'가정'!B50,'데이터_SS일별'!$B$2:$B$400,"&lt;="&amp;'가정'!C50)</f>
        <v/>
      </c>
      <c r="C38" s="7">
        <f>SUMIFS('데이터_SS일별'!$F$2:$F$400,'데이터_SS일별'!$A$2:$A$400,$A$25,'데이터_SS일별'!$C$2:$C$400,"일반",'데이터_SS일별'!$B$2:$B$400,"&gt;="&amp;'가정'!B51,'데이터_SS일별'!$B$2:$B$400,"&lt;="&amp;'가정'!C51)</f>
        <v/>
      </c>
      <c r="D38" s="7">
        <f>SUMIFS('데이터_SS일별'!$F$2:$F$400,'데이터_SS일별'!$A$2:$A$400,$A$25,'데이터_SS일별'!$C$2:$C$400,"일반",'데이터_SS일별'!$B$2:$B$400,"&gt;="&amp;'가정'!B52,'데이터_SS일별'!$B$2:$B$400,"&lt;="&amp;'가정'!C52)</f>
        <v/>
      </c>
      <c r="E38" s="7">
        <f>SUMIFS('데이터_SS일별'!$F$2:$F$400,'데이터_SS일별'!$A$2:$A$400,$A$25,'데이터_SS일별'!$C$2:$C$400,"일반",'데이터_SS일별'!$B$2:$B$400,"&gt;="&amp;'가정'!B53,'데이터_SS일별'!$B$2:$B$400,"&lt;="&amp;'가정'!C53)</f>
        <v/>
      </c>
      <c r="F38" s="7">
        <f>SUMIFS('데이터_SS일별'!$F$2:$F$400,'데이터_SS일별'!$A$2:$A$400,$A$25,'데이터_SS일별'!$C$2:$C$400,"일반",'데이터_SS일별'!$B$2:$B$400,"&gt;="&amp;'가정'!B54,'데이터_SS일별'!$B$2:$B$400,"&lt;="&amp;'가정'!C54)</f>
        <v/>
      </c>
      <c r="G38" s="7">
        <f>SUM(B38:F38)</f>
        <v/>
      </c>
      <c r="H38" s="7">
        <f>SUMIF($B$28:$F$28,H$28,$B38:$F38)</f>
        <v/>
      </c>
      <c r="I38" s="7">
        <f>SUMIF($B$28:$F$28,I$28,$B38:$F38)</f>
        <v/>
      </c>
    </row>
    <row r="39">
      <c r="A39" s="32" t="inlineStr">
        <is>
          <t>(참고) 공동구매 순매출, 집계 제외분(원)</t>
        </is>
      </c>
      <c r="B39" s="7">
        <f>SUMIFS('데이터_SS일별'!$F$2:$F$400,'데이터_SS일별'!$A$2:$A$400,$A$25,'데이터_SS일별'!$C$2:$C$400,"공구",'데이터_SS일별'!$B$2:$B$400,"&gt;="&amp;'가정'!B50,'데이터_SS일별'!$B$2:$B$400,"&lt;="&amp;'가정'!C50)</f>
        <v/>
      </c>
      <c r="C39" s="7">
        <f>SUMIFS('데이터_SS일별'!$F$2:$F$400,'데이터_SS일별'!$A$2:$A$400,$A$25,'데이터_SS일별'!$C$2:$C$400,"공구",'데이터_SS일별'!$B$2:$B$400,"&gt;="&amp;'가정'!B51,'데이터_SS일별'!$B$2:$B$400,"&lt;="&amp;'가정'!C51)</f>
        <v/>
      </c>
      <c r="D39" s="7">
        <f>SUMIFS('데이터_SS일별'!$F$2:$F$400,'데이터_SS일별'!$A$2:$A$400,$A$25,'데이터_SS일별'!$C$2:$C$400,"공구",'데이터_SS일별'!$B$2:$B$400,"&gt;="&amp;'가정'!B52,'데이터_SS일별'!$B$2:$B$400,"&lt;="&amp;'가정'!C52)</f>
        <v/>
      </c>
      <c r="E39" s="7">
        <f>SUMIFS('데이터_SS일별'!$F$2:$F$400,'데이터_SS일별'!$A$2:$A$400,$A$25,'데이터_SS일별'!$C$2:$C$400,"공구",'데이터_SS일별'!$B$2:$B$400,"&gt;="&amp;'가정'!B53,'데이터_SS일별'!$B$2:$B$400,"&lt;="&amp;'가정'!C53)</f>
        <v/>
      </c>
      <c r="F39" s="7">
        <f>SUMIFS('데이터_SS일별'!$F$2:$F$400,'데이터_SS일별'!$A$2:$A$400,$A$25,'데이터_SS일별'!$C$2:$C$400,"공구",'데이터_SS일별'!$B$2:$B$400,"&gt;="&amp;'가정'!B54,'데이터_SS일별'!$B$2:$B$400,"&lt;="&amp;'가정'!C54)</f>
        <v/>
      </c>
      <c r="G39" s="7">
        <f>SUM(B39:F39)</f>
        <v/>
      </c>
      <c r="H39" s="7">
        <f>SUMIF($B$28:$F$28,H$28,$B39:$F39)</f>
        <v/>
      </c>
      <c r="I39" s="7">
        <f>SUMIF($B$28:$F$28,I$28,$B39:$F39)</f>
        <v/>
      </c>
    </row>
    <row r="40">
      <c r="A40" s="32" t="inlineStr">
        <is>
          <t>스스향 광고비(원, 메타 자사몰 제외)</t>
        </is>
      </c>
      <c r="B40" s="7">
        <f>B30-SUMIFS('데이터_광고'!$E$2:$E$500,'데이터_광고'!$A$2:$A$500,$A$25,'데이터_광고'!$D$2:$D$500,B$26,'데이터_광고'!$B$2:$B$500,"메타 자사몰")</f>
        <v/>
      </c>
      <c r="C40" s="7">
        <f>C30-SUMIFS('데이터_광고'!$E$2:$E$500,'데이터_광고'!$A$2:$A$500,$A$25,'데이터_광고'!$D$2:$D$500,C$26,'데이터_광고'!$B$2:$B$500,"메타 자사몰")</f>
        <v/>
      </c>
      <c r="D40" s="7">
        <f>D30-SUMIFS('데이터_광고'!$E$2:$E$500,'데이터_광고'!$A$2:$A$500,$A$25,'데이터_광고'!$D$2:$D$500,D$26,'데이터_광고'!$B$2:$B$500,"메타 자사몰")</f>
        <v/>
      </c>
      <c r="E40" s="7">
        <f>E30-SUMIFS('데이터_광고'!$E$2:$E$500,'데이터_광고'!$A$2:$A$500,$A$25,'데이터_광고'!$D$2:$D$500,E$26,'데이터_광고'!$B$2:$B$500,"메타 자사몰")</f>
        <v/>
      </c>
      <c r="F40" s="7">
        <f>F30-SUMIFS('데이터_광고'!$E$2:$E$500,'데이터_광고'!$A$2:$A$500,$A$25,'데이터_광고'!$D$2:$D$500,F$26,'데이터_광고'!$B$2:$B$500,"메타 자사몰")</f>
        <v/>
      </c>
      <c r="G40" s="7">
        <f>SUM(B40:F40)</f>
        <v/>
      </c>
      <c r="H40" s="7">
        <f>SUMIF($B$28:$F$28,H$28,$B40:$F40)</f>
        <v/>
      </c>
      <c r="I40" s="7">
        <f>SUMIF($B$28:$F$28,I$28,$B40:$F40)</f>
        <v/>
      </c>
    </row>
    <row r="41">
      <c r="A41" s="32" t="inlineStr">
        <is>
          <t>스마트스토어 통합 ROAS (순매출÷스스향 광고비)</t>
        </is>
      </c>
      <c r="B41" s="8">
        <f>IF(B40=0,0,B38/B40)</f>
        <v/>
      </c>
      <c r="C41" s="8">
        <f>IF(C40=0,0,C38/C40)</f>
        <v/>
      </c>
      <c r="D41" s="8">
        <f>IF(D40=0,0,D38/D40)</f>
        <v/>
      </c>
      <c r="E41" s="8">
        <f>IF(E40=0,0,E38/E40)</f>
        <v/>
      </c>
      <c r="F41" s="8">
        <f>IF(F40=0,0,F38/F40)</f>
        <v/>
      </c>
      <c r="G41" s="8">
        <f>IF(G40=0,0,G38/G40)</f>
        <v/>
      </c>
      <c r="H41" s="8">
        <f>IF(H40=0,0,H38/H40)</f>
        <v/>
      </c>
      <c r="I41" s="8">
        <f>IF(I40=0,0,I38/I40)</f>
        <v/>
      </c>
    </row>
    <row r="46">
      <c r="A46" s="3" t="inlineStr">
        <is>
          <t>아넬라 매체별 ROAS</t>
        </is>
      </c>
    </row>
    <row r="47">
      <c r="A47" s="5" t="inlineStr">
        <is>
          <t>매체</t>
        </is>
      </c>
      <c r="B47" s="5">
        <f>'가정'!A50</f>
        <v/>
      </c>
      <c r="C47" s="5">
        <f>'가정'!A51</f>
        <v/>
      </c>
      <c r="D47" s="5">
        <f>'가정'!A52</f>
        <v/>
      </c>
      <c r="E47" s="5">
        <f>'가정'!A53</f>
        <v/>
      </c>
      <c r="F47" s="5">
        <f>'가정'!A54</f>
        <v/>
      </c>
      <c r="G47" s="5" t="inlineStr">
        <is>
          <t>10월 누계</t>
        </is>
      </c>
      <c r="H47" s="5" t="inlineStr">
        <is>
          <t>상시 구간</t>
        </is>
      </c>
      <c r="I47" s="5" t="inlineStr">
        <is>
          <t>행사 구간</t>
        </is>
      </c>
    </row>
    <row r="48">
      <c r="A48" s="15" t="inlineStr">
        <is>
          <t>파워링크</t>
        </is>
      </c>
      <c r="B48" s="23">
        <f>IF(SUMIFS('데이터_광고'!$E$2:$E$500,'데이터_광고'!$A$2:$A$500,$A$4,'데이터_광고'!$B$2:$B$500,$A48,'데이터_광고'!$D$2:$D$500,B$47)=0,0,SUMIFS('데이터_광고'!$I$2:$I$500,'데이터_광고'!$A$2:$A$500,$A$4,'데이터_광고'!$B$2:$B$500,$A48,'데이터_광고'!$D$2:$D$500,B$47)/SUMIFS('데이터_광고'!$E$2:$E$500,'데이터_광고'!$A$2:$A$500,$A$4,'데이터_광고'!$B$2:$B$500,$A48,'데이터_광고'!$D$2:$D$500,B$47))</f>
        <v/>
      </c>
      <c r="C48" s="23">
        <f>IF(SUMIFS('데이터_광고'!$E$2:$E$500,'데이터_광고'!$A$2:$A$500,$A$4,'데이터_광고'!$B$2:$B$500,$A48,'데이터_광고'!$D$2:$D$500,C$47)=0,0,SUMIFS('데이터_광고'!$I$2:$I$500,'데이터_광고'!$A$2:$A$500,$A$4,'데이터_광고'!$B$2:$B$500,$A48,'데이터_광고'!$D$2:$D$500,C$47)/SUMIFS('데이터_광고'!$E$2:$E$500,'데이터_광고'!$A$2:$A$500,$A$4,'데이터_광고'!$B$2:$B$500,$A48,'데이터_광고'!$D$2:$D$500,C$47))</f>
        <v/>
      </c>
      <c r="D48" s="23">
        <f>IF(SUMIFS('데이터_광고'!$E$2:$E$500,'데이터_광고'!$A$2:$A$500,$A$4,'데이터_광고'!$B$2:$B$500,$A48,'데이터_광고'!$D$2:$D$500,D$47)=0,0,SUMIFS('데이터_광고'!$I$2:$I$500,'데이터_광고'!$A$2:$A$500,$A$4,'데이터_광고'!$B$2:$B$500,$A48,'데이터_광고'!$D$2:$D$500,D$47)/SUMIFS('데이터_광고'!$E$2:$E$500,'데이터_광고'!$A$2:$A$500,$A$4,'데이터_광고'!$B$2:$B$500,$A48,'데이터_광고'!$D$2:$D$500,D$47))</f>
        <v/>
      </c>
      <c r="E48" s="23">
        <f>IF(SUMIFS('데이터_광고'!$E$2:$E$500,'데이터_광고'!$A$2:$A$500,$A$4,'데이터_광고'!$B$2:$B$500,$A48,'데이터_광고'!$D$2:$D$500,E$47)=0,0,SUMIFS('데이터_광고'!$I$2:$I$500,'데이터_광고'!$A$2:$A$500,$A$4,'데이터_광고'!$B$2:$B$500,$A48,'데이터_광고'!$D$2:$D$500,E$47)/SUMIFS('데이터_광고'!$E$2:$E$500,'데이터_광고'!$A$2:$A$500,$A$4,'데이터_광고'!$B$2:$B$500,$A48,'데이터_광고'!$D$2:$D$500,E$47))</f>
        <v/>
      </c>
      <c r="F48" s="23">
        <f>IF(SUMIFS('데이터_광고'!$E$2:$E$500,'데이터_광고'!$A$2:$A$500,$A$4,'데이터_광고'!$B$2:$B$500,$A48,'데이터_광고'!$D$2:$D$500,F$47)=0,0,SUMIFS('데이터_광고'!$I$2:$I$500,'데이터_광고'!$A$2:$A$500,$A$4,'데이터_광고'!$B$2:$B$500,$A48,'데이터_광고'!$D$2:$D$500,F$47)/SUMIFS('데이터_광고'!$E$2:$E$500,'데이터_광고'!$A$2:$A$500,$A$4,'데이터_광고'!$B$2:$B$500,$A48,'데이터_광고'!$D$2:$D$500,F$47))</f>
        <v/>
      </c>
      <c r="G48" s="16">
        <f>IF(SUMIFS('데이터_광고'!$E$2:$E$500,'데이터_광고'!$A$2:$A$500,$A$4,'데이터_광고'!$B$2:$B$500,$A48)=0,0,SUMIFS('데이터_광고'!$I$2:$I$500,'데이터_광고'!$A$2:$A$500,$A$4,'데이터_광고'!$B$2:$B$500,$A48)/SUMIFS('데이터_광고'!$E$2:$E$500,'데이터_광고'!$A$2:$A$500,$A$4,'데이터_광고'!$B$2:$B$500,$A48))</f>
        <v/>
      </c>
      <c r="H48" s="16">
        <f>IF(SUMIFS('데이터_광고'!$E$2:$E$500,'데이터_광고'!$A$2:$A$500,$A$4,'데이터_광고'!$B$2:$B$500,$A48,'데이터_광고'!$J$2:$J$500,"상시")=0,0,SUMIFS('데이터_광고'!$I$2:$I$500,'데이터_광고'!$A$2:$A$500,$A$4,'데이터_광고'!$B$2:$B$500,$A48,'데이터_광고'!$J$2:$J$500,"상시")/SUMIFS('데이터_광고'!$E$2:$E$500,'데이터_광고'!$A$2:$A$500,$A$4,'데이터_광고'!$B$2:$B$500,$A48,'데이터_광고'!$J$2:$J$500,"상시"))</f>
        <v/>
      </c>
      <c r="I48" s="16">
        <f>IF(SUMIFS('데이터_광고'!$E$2:$E$500,'데이터_광고'!$A$2:$A$500,$A$4,'데이터_광고'!$B$2:$B$500,$A48,'데이터_광고'!$J$2:$J$500,"행사")=0,0,SUMIFS('데이터_광고'!$I$2:$I$500,'데이터_광고'!$A$2:$A$500,$A$4,'데이터_광고'!$B$2:$B$500,$A48,'데이터_광고'!$J$2:$J$500,"행사")/SUMIFS('데이터_광고'!$E$2:$E$500,'데이터_광고'!$A$2:$A$500,$A$4,'데이터_광고'!$B$2:$B$500,$A48,'데이터_광고'!$J$2:$J$500,"행사"))</f>
        <v/>
      </c>
    </row>
    <row r="49">
      <c r="A49" s="15" t="inlineStr">
        <is>
          <t>쇼핑검색</t>
        </is>
      </c>
      <c r="B49" s="23">
        <f>IF(SUMIFS('데이터_광고'!$E$2:$E$500,'데이터_광고'!$A$2:$A$500,$A$4,'데이터_광고'!$B$2:$B$500,$A49,'데이터_광고'!$D$2:$D$500,B$47)=0,0,SUMIFS('데이터_광고'!$I$2:$I$500,'데이터_광고'!$A$2:$A$500,$A$4,'데이터_광고'!$B$2:$B$500,$A49,'데이터_광고'!$D$2:$D$500,B$47)/SUMIFS('데이터_광고'!$E$2:$E$500,'데이터_광고'!$A$2:$A$500,$A$4,'데이터_광고'!$B$2:$B$500,$A49,'데이터_광고'!$D$2:$D$500,B$47))</f>
        <v/>
      </c>
      <c r="C49" s="23">
        <f>IF(SUMIFS('데이터_광고'!$E$2:$E$500,'데이터_광고'!$A$2:$A$500,$A$4,'데이터_광고'!$B$2:$B$500,$A49,'데이터_광고'!$D$2:$D$500,C$47)=0,0,SUMIFS('데이터_광고'!$I$2:$I$500,'데이터_광고'!$A$2:$A$500,$A$4,'데이터_광고'!$B$2:$B$500,$A49,'데이터_광고'!$D$2:$D$500,C$47)/SUMIFS('데이터_광고'!$E$2:$E$500,'데이터_광고'!$A$2:$A$500,$A$4,'데이터_광고'!$B$2:$B$500,$A49,'데이터_광고'!$D$2:$D$500,C$47))</f>
        <v/>
      </c>
      <c r="D49" s="23">
        <f>IF(SUMIFS('데이터_광고'!$E$2:$E$500,'데이터_광고'!$A$2:$A$500,$A$4,'데이터_광고'!$B$2:$B$500,$A49,'데이터_광고'!$D$2:$D$500,D$47)=0,0,SUMIFS('데이터_광고'!$I$2:$I$500,'데이터_광고'!$A$2:$A$500,$A$4,'데이터_광고'!$B$2:$B$500,$A49,'데이터_광고'!$D$2:$D$500,D$47)/SUMIFS('데이터_광고'!$E$2:$E$500,'데이터_광고'!$A$2:$A$500,$A$4,'데이터_광고'!$B$2:$B$500,$A49,'데이터_광고'!$D$2:$D$500,D$47))</f>
        <v/>
      </c>
      <c r="E49" s="23">
        <f>IF(SUMIFS('데이터_광고'!$E$2:$E$500,'데이터_광고'!$A$2:$A$500,$A$4,'데이터_광고'!$B$2:$B$500,$A49,'데이터_광고'!$D$2:$D$500,E$47)=0,0,SUMIFS('데이터_광고'!$I$2:$I$500,'데이터_광고'!$A$2:$A$500,$A$4,'데이터_광고'!$B$2:$B$500,$A49,'데이터_광고'!$D$2:$D$500,E$47)/SUMIFS('데이터_광고'!$E$2:$E$500,'데이터_광고'!$A$2:$A$500,$A$4,'데이터_광고'!$B$2:$B$500,$A49,'데이터_광고'!$D$2:$D$500,E$47))</f>
        <v/>
      </c>
      <c r="F49" s="23">
        <f>IF(SUMIFS('데이터_광고'!$E$2:$E$500,'데이터_광고'!$A$2:$A$500,$A$4,'데이터_광고'!$B$2:$B$500,$A49,'데이터_광고'!$D$2:$D$500,F$47)=0,0,SUMIFS('데이터_광고'!$I$2:$I$500,'데이터_광고'!$A$2:$A$500,$A$4,'데이터_광고'!$B$2:$B$500,$A49,'데이터_광고'!$D$2:$D$500,F$47)/SUMIFS('데이터_광고'!$E$2:$E$500,'데이터_광고'!$A$2:$A$500,$A$4,'데이터_광고'!$B$2:$B$500,$A49,'데이터_광고'!$D$2:$D$500,F$47))</f>
        <v/>
      </c>
      <c r="G49" s="16">
        <f>IF(SUMIFS('데이터_광고'!$E$2:$E$500,'데이터_광고'!$A$2:$A$500,$A$4,'데이터_광고'!$B$2:$B$500,$A49)=0,0,SUMIFS('데이터_광고'!$I$2:$I$500,'데이터_광고'!$A$2:$A$500,$A$4,'데이터_광고'!$B$2:$B$500,$A49)/SUMIFS('데이터_광고'!$E$2:$E$500,'데이터_광고'!$A$2:$A$500,$A$4,'데이터_광고'!$B$2:$B$500,$A49))</f>
        <v/>
      </c>
      <c r="H49" s="16">
        <f>IF(SUMIFS('데이터_광고'!$E$2:$E$500,'데이터_광고'!$A$2:$A$500,$A$4,'데이터_광고'!$B$2:$B$500,$A49,'데이터_광고'!$J$2:$J$500,"상시")=0,0,SUMIFS('데이터_광고'!$I$2:$I$500,'데이터_광고'!$A$2:$A$500,$A$4,'데이터_광고'!$B$2:$B$500,$A49,'데이터_광고'!$J$2:$J$500,"상시")/SUMIFS('데이터_광고'!$E$2:$E$500,'데이터_광고'!$A$2:$A$500,$A$4,'데이터_광고'!$B$2:$B$500,$A49,'데이터_광고'!$J$2:$J$500,"상시"))</f>
        <v/>
      </c>
      <c r="I49" s="16">
        <f>IF(SUMIFS('데이터_광고'!$E$2:$E$500,'데이터_광고'!$A$2:$A$500,$A$4,'데이터_광고'!$B$2:$B$500,$A49,'데이터_광고'!$J$2:$J$500,"행사")=0,0,SUMIFS('데이터_광고'!$I$2:$I$500,'데이터_광고'!$A$2:$A$500,$A$4,'데이터_광고'!$B$2:$B$500,$A49,'데이터_광고'!$J$2:$J$500,"행사")/SUMIFS('데이터_광고'!$E$2:$E$500,'데이터_광고'!$A$2:$A$500,$A$4,'데이터_광고'!$B$2:$B$500,$A49,'데이터_광고'!$J$2:$J$500,"행사"))</f>
        <v/>
      </c>
    </row>
    <row r="50">
      <c r="A50" s="15" t="inlineStr">
        <is>
          <t>브랜드검색</t>
        </is>
      </c>
      <c r="B50" s="23">
        <f>IF(SUMIFS('데이터_광고'!$E$2:$E$500,'데이터_광고'!$A$2:$A$500,$A$4,'데이터_광고'!$B$2:$B$500,$A50,'데이터_광고'!$D$2:$D$500,B$47)=0,0,SUMIFS('데이터_광고'!$I$2:$I$500,'데이터_광고'!$A$2:$A$500,$A$4,'데이터_광고'!$B$2:$B$500,$A50,'데이터_광고'!$D$2:$D$500,B$47)/SUMIFS('데이터_광고'!$E$2:$E$500,'데이터_광고'!$A$2:$A$500,$A$4,'데이터_광고'!$B$2:$B$500,$A50,'데이터_광고'!$D$2:$D$500,B$47))</f>
        <v/>
      </c>
      <c r="C50" s="23">
        <f>IF(SUMIFS('데이터_광고'!$E$2:$E$500,'데이터_광고'!$A$2:$A$500,$A$4,'데이터_광고'!$B$2:$B$500,$A50,'데이터_광고'!$D$2:$D$500,C$47)=0,0,SUMIFS('데이터_광고'!$I$2:$I$500,'데이터_광고'!$A$2:$A$500,$A$4,'데이터_광고'!$B$2:$B$500,$A50,'데이터_광고'!$D$2:$D$500,C$47)/SUMIFS('데이터_광고'!$E$2:$E$500,'데이터_광고'!$A$2:$A$500,$A$4,'데이터_광고'!$B$2:$B$500,$A50,'데이터_광고'!$D$2:$D$500,C$47))</f>
        <v/>
      </c>
      <c r="D50" s="23">
        <f>IF(SUMIFS('데이터_광고'!$E$2:$E$500,'데이터_광고'!$A$2:$A$500,$A$4,'데이터_광고'!$B$2:$B$500,$A50,'데이터_광고'!$D$2:$D$500,D$47)=0,0,SUMIFS('데이터_광고'!$I$2:$I$500,'데이터_광고'!$A$2:$A$500,$A$4,'데이터_광고'!$B$2:$B$500,$A50,'데이터_광고'!$D$2:$D$500,D$47)/SUMIFS('데이터_광고'!$E$2:$E$500,'데이터_광고'!$A$2:$A$500,$A$4,'데이터_광고'!$B$2:$B$500,$A50,'데이터_광고'!$D$2:$D$500,D$47))</f>
        <v/>
      </c>
      <c r="E50" s="23">
        <f>IF(SUMIFS('데이터_광고'!$E$2:$E$500,'데이터_광고'!$A$2:$A$500,$A$4,'데이터_광고'!$B$2:$B$500,$A50,'데이터_광고'!$D$2:$D$500,E$47)=0,0,SUMIFS('데이터_광고'!$I$2:$I$500,'데이터_광고'!$A$2:$A$500,$A$4,'데이터_광고'!$B$2:$B$500,$A50,'데이터_광고'!$D$2:$D$500,E$47)/SUMIFS('데이터_광고'!$E$2:$E$500,'데이터_광고'!$A$2:$A$500,$A$4,'데이터_광고'!$B$2:$B$500,$A50,'데이터_광고'!$D$2:$D$500,E$47))</f>
        <v/>
      </c>
      <c r="F50" s="23">
        <f>IF(SUMIFS('데이터_광고'!$E$2:$E$500,'데이터_광고'!$A$2:$A$500,$A$4,'데이터_광고'!$B$2:$B$500,$A50,'데이터_광고'!$D$2:$D$500,F$47)=0,0,SUMIFS('데이터_광고'!$I$2:$I$500,'데이터_광고'!$A$2:$A$500,$A$4,'데이터_광고'!$B$2:$B$500,$A50,'데이터_광고'!$D$2:$D$500,F$47)/SUMIFS('데이터_광고'!$E$2:$E$500,'데이터_광고'!$A$2:$A$500,$A$4,'데이터_광고'!$B$2:$B$500,$A50,'데이터_광고'!$D$2:$D$500,F$47))</f>
        <v/>
      </c>
      <c r="G50" s="16">
        <f>IF(SUMIFS('데이터_광고'!$E$2:$E$500,'데이터_광고'!$A$2:$A$500,$A$4,'데이터_광고'!$B$2:$B$500,$A50)=0,0,SUMIFS('데이터_광고'!$I$2:$I$500,'데이터_광고'!$A$2:$A$500,$A$4,'데이터_광고'!$B$2:$B$500,$A50)/SUMIFS('데이터_광고'!$E$2:$E$500,'데이터_광고'!$A$2:$A$500,$A$4,'데이터_광고'!$B$2:$B$500,$A50))</f>
        <v/>
      </c>
      <c r="H50" s="16">
        <f>IF(SUMIFS('데이터_광고'!$E$2:$E$500,'데이터_광고'!$A$2:$A$500,$A$4,'데이터_광고'!$B$2:$B$500,$A50,'데이터_광고'!$J$2:$J$500,"상시")=0,0,SUMIFS('데이터_광고'!$I$2:$I$500,'데이터_광고'!$A$2:$A$500,$A$4,'데이터_광고'!$B$2:$B$500,$A50,'데이터_광고'!$J$2:$J$500,"상시")/SUMIFS('데이터_광고'!$E$2:$E$500,'데이터_광고'!$A$2:$A$500,$A$4,'데이터_광고'!$B$2:$B$500,$A50,'데이터_광고'!$J$2:$J$500,"상시"))</f>
        <v/>
      </c>
      <c r="I50" s="16">
        <f>IF(SUMIFS('데이터_광고'!$E$2:$E$500,'데이터_광고'!$A$2:$A$500,$A$4,'데이터_광고'!$B$2:$B$500,$A50,'데이터_광고'!$J$2:$J$500,"행사")=0,0,SUMIFS('데이터_광고'!$I$2:$I$500,'데이터_광고'!$A$2:$A$500,$A$4,'데이터_광고'!$B$2:$B$500,$A50,'데이터_광고'!$J$2:$J$500,"행사")/SUMIFS('데이터_광고'!$E$2:$E$500,'데이터_광고'!$A$2:$A$500,$A$4,'데이터_광고'!$B$2:$B$500,$A50,'데이터_광고'!$J$2:$J$500,"행사"))</f>
        <v/>
      </c>
    </row>
    <row r="51">
      <c r="A51" s="15" t="inlineStr">
        <is>
          <t>GFA 카탈로그</t>
        </is>
      </c>
      <c r="B51" s="23">
        <f>IF(SUMIFS('데이터_광고'!$E$2:$E$500,'데이터_광고'!$A$2:$A$500,$A$4,'데이터_광고'!$B$2:$B$500,$A51,'데이터_광고'!$D$2:$D$500,B$47)=0,0,SUMIFS('데이터_광고'!$I$2:$I$500,'데이터_광고'!$A$2:$A$500,$A$4,'데이터_광고'!$B$2:$B$500,$A51,'데이터_광고'!$D$2:$D$500,B$47)/SUMIFS('데이터_광고'!$E$2:$E$500,'데이터_광고'!$A$2:$A$500,$A$4,'데이터_광고'!$B$2:$B$500,$A51,'데이터_광고'!$D$2:$D$500,B$47))</f>
        <v/>
      </c>
      <c r="C51" s="23">
        <f>IF(SUMIFS('데이터_광고'!$E$2:$E$500,'데이터_광고'!$A$2:$A$500,$A$4,'데이터_광고'!$B$2:$B$500,$A51,'데이터_광고'!$D$2:$D$500,C$47)=0,0,SUMIFS('데이터_광고'!$I$2:$I$500,'데이터_광고'!$A$2:$A$500,$A$4,'데이터_광고'!$B$2:$B$500,$A51,'데이터_광고'!$D$2:$D$500,C$47)/SUMIFS('데이터_광고'!$E$2:$E$500,'데이터_광고'!$A$2:$A$500,$A$4,'데이터_광고'!$B$2:$B$500,$A51,'데이터_광고'!$D$2:$D$500,C$47))</f>
        <v/>
      </c>
      <c r="D51" s="23">
        <f>IF(SUMIFS('데이터_광고'!$E$2:$E$500,'데이터_광고'!$A$2:$A$500,$A$4,'데이터_광고'!$B$2:$B$500,$A51,'데이터_광고'!$D$2:$D$500,D$47)=0,0,SUMIFS('데이터_광고'!$I$2:$I$500,'데이터_광고'!$A$2:$A$500,$A$4,'데이터_광고'!$B$2:$B$500,$A51,'데이터_광고'!$D$2:$D$500,D$47)/SUMIFS('데이터_광고'!$E$2:$E$500,'데이터_광고'!$A$2:$A$500,$A$4,'데이터_광고'!$B$2:$B$500,$A51,'데이터_광고'!$D$2:$D$500,D$47))</f>
        <v/>
      </c>
      <c r="E51" s="23">
        <f>IF(SUMIFS('데이터_광고'!$E$2:$E$500,'데이터_광고'!$A$2:$A$500,$A$4,'데이터_광고'!$B$2:$B$500,$A51,'데이터_광고'!$D$2:$D$500,E$47)=0,0,SUMIFS('데이터_광고'!$I$2:$I$500,'데이터_광고'!$A$2:$A$500,$A$4,'데이터_광고'!$B$2:$B$500,$A51,'데이터_광고'!$D$2:$D$500,E$47)/SUMIFS('데이터_광고'!$E$2:$E$500,'데이터_광고'!$A$2:$A$500,$A$4,'데이터_광고'!$B$2:$B$500,$A51,'데이터_광고'!$D$2:$D$500,E$47))</f>
        <v/>
      </c>
      <c r="F51" s="23">
        <f>IF(SUMIFS('데이터_광고'!$E$2:$E$500,'데이터_광고'!$A$2:$A$500,$A$4,'데이터_광고'!$B$2:$B$500,$A51,'데이터_광고'!$D$2:$D$500,F$47)=0,0,SUMIFS('데이터_광고'!$I$2:$I$500,'데이터_광고'!$A$2:$A$500,$A$4,'데이터_광고'!$B$2:$B$500,$A51,'데이터_광고'!$D$2:$D$500,F$47)/SUMIFS('데이터_광고'!$E$2:$E$500,'데이터_광고'!$A$2:$A$500,$A$4,'데이터_광고'!$B$2:$B$500,$A51,'데이터_광고'!$D$2:$D$500,F$47))</f>
        <v/>
      </c>
      <c r="G51" s="16">
        <f>IF(SUMIFS('데이터_광고'!$E$2:$E$500,'데이터_광고'!$A$2:$A$500,$A$4,'데이터_광고'!$B$2:$B$500,$A51)=0,0,SUMIFS('데이터_광고'!$I$2:$I$500,'데이터_광고'!$A$2:$A$500,$A$4,'데이터_광고'!$B$2:$B$500,$A51)/SUMIFS('데이터_광고'!$E$2:$E$500,'데이터_광고'!$A$2:$A$500,$A$4,'데이터_광고'!$B$2:$B$500,$A51))</f>
        <v/>
      </c>
      <c r="H51" s="16">
        <f>IF(SUMIFS('데이터_광고'!$E$2:$E$500,'데이터_광고'!$A$2:$A$500,$A$4,'데이터_광고'!$B$2:$B$500,$A51,'데이터_광고'!$J$2:$J$500,"상시")=0,0,SUMIFS('데이터_광고'!$I$2:$I$500,'데이터_광고'!$A$2:$A$500,$A$4,'데이터_광고'!$B$2:$B$500,$A51,'데이터_광고'!$J$2:$J$500,"상시")/SUMIFS('데이터_광고'!$E$2:$E$500,'데이터_광고'!$A$2:$A$500,$A$4,'데이터_광고'!$B$2:$B$500,$A51,'데이터_광고'!$J$2:$J$500,"상시"))</f>
        <v/>
      </c>
      <c r="I51" s="16">
        <f>IF(SUMIFS('데이터_광고'!$E$2:$E$500,'데이터_광고'!$A$2:$A$500,$A$4,'데이터_광고'!$B$2:$B$500,$A51,'데이터_광고'!$J$2:$J$500,"행사")=0,0,SUMIFS('데이터_광고'!$I$2:$I$500,'데이터_광고'!$A$2:$A$500,$A$4,'데이터_광고'!$B$2:$B$500,$A51,'데이터_광고'!$J$2:$J$500,"행사")/SUMIFS('데이터_광고'!$E$2:$E$500,'데이터_광고'!$A$2:$A$500,$A$4,'데이터_광고'!$B$2:$B$500,$A51,'데이터_광고'!$J$2:$J$500,"행사"))</f>
        <v/>
      </c>
    </row>
    <row r="52">
      <c r="A52" s="15" t="inlineStr">
        <is>
          <t>GFA 전환</t>
        </is>
      </c>
      <c r="B52" s="23">
        <f>IF(SUMIFS('데이터_광고'!$E$2:$E$500,'데이터_광고'!$A$2:$A$500,$A$4,'데이터_광고'!$B$2:$B$500,$A52,'데이터_광고'!$D$2:$D$500,B$47)=0,0,SUMIFS('데이터_광고'!$I$2:$I$500,'데이터_광고'!$A$2:$A$500,$A$4,'데이터_광고'!$B$2:$B$500,$A52,'데이터_광고'!$D$2:$D$500,B$47)/SUMIFS('데이터_광고'!$E$2:$E$500,'데이터_광고'!$A$2:$A$500,$A$4,'데이터_광고'!$B$2:$B$500,$A52,'데이터_광고'!$D$2:$D$500,B$47))</f>
        <v/>
      </c>
      <c r="C52" s="23">
        <f>IF(SUMIFS('데이터_광고'!$E$2:$E$500,'데이터_광고'!$A$2:$A$500,$A$4,'데이터_광고'!$B$2:$B$500,$A52,'데이터_광고'!$D$2:$D$500,C$47)=0,0,SUMIFS('데이터_광고'!$I$2:$I$500,'데이터_광고'!$A$2:$A$500,$A$4,'데이터_광고'!$B$2:$B$500,$A52,'데이터_광고'!$D$2:$D$500,C$47)/SUMIFS('데이터_광고'!$E$2:$E$500,'데이터_광고'!$A$2:$A$500,$A$4,'데이터_광고'!$B$2:$B$500,$A52,'데이터_광고'!$D$2:$D$500,C$47))</f>
        <v/>
      </c>
      <c r="D52" s="23">
        <f>IF(SUMIFS('데이터_광고'!$E$2:$E$500,'데이터_광고'!$A$2:$A$500,$A$4,'데이터_광고'!$B$2:$B$500,$A52,'데이터_광고'!$D$2:$D$500,D$47)=0,0,SUMIFS('데이터_광고'!$I$2:$I$500,'데이터_광고'!$A$2:$A$500,$A$4,'데이터_광고'!$B$2:$B$500,$A52,'데이터_광고'!$D$2:$D$500,D$47)/SUMIFS('데이터_광고'!$E$2:$E$500,'데이터_광고'!$A$2:$A$500,$A$4,'데이터_광고'!$B$2:$B$500,$A52,'데이터_광고'!$D$2:$D$500,D$47))</f>
        <v/>
      </c>
      <c r="E52" s="23">
        <f>IF(SUMIFS('데이터_광고'!$E$2:$E$500,'데이터_광고'!$A$2:$A$500,$A$4,'데이터_광고'!$B$2:$B$500,$A52,'데이터_광고'!$D$2:$D$500,E$47)=0,0,SUMIFS('데이터_광고'!$I$2:$I$500,'데이터_광고'!$A$2:$A$500,$A$4,'데이터_광고'!$B$2:$B$500,$A52,'데이터_광고'!$D$2:$D$500,E$47)/SUMIFS('데이터_광고'!$E$2:$E$500,'데이터_광고'!$A$2:$A$500,$A$4,'데이터_광고'!$B$2:$B$500,$A52,'데이터_광고'!$D$2:$D$500,E$47))</f>
        <v/>
      </c>
      <c r="F52" s="23">
        <f>IF(SUMIFS('데이터_광고'!$E$2:$E$500,'데이터_광고'!$A$2:$A$500,$A$4,'데이터_광고'!$B$2:$B$500,$A52,'데이터_광고'!$D$2:$D$500,F$47)=0,0,SUMIFS('데이터_광고'!$I$2:$I$500,'데이터_광고'!$A$2:$A$500,$A$4,'데이터_광고'!$B$2:$B$500,$A52,'데이터_광고'!$D$2:$D$500,F$47)/SUMIFS('데이터_광고'!$E$2:$E$500,'데이터_광고'!$A$2:$A$500,$A$4,'데이터_광고'!$B$2:$B$500,$A52,'데이터_광고'!$D$2:$D$500,F$47))</f>
        <v/>
      </c>
      <c r="G52" s="16">
        <f>IF(SUMIFS('데이터_광고'!$E$2:$E$500,'데이터_광고'!$A$2:$A$500,$A$4,'데이터_광고'!$B$2:$B$500,$A52)=0,0,SUMIFS('데이터_광고'!$I$2:$I$500,'데이터_광고'!$A$2:$A$500,$A$4,'데이터_광고'!$B$2:$B$500,$A52)/SUMIFS('데이터_광고'!$E$2:$E$500,'데이터_광고'!$A$2:$A$500,$A$4,'데이터_광고'!$B$2:$B$500,$A52))</f>
        <v/>
      </c>
      <c r="H52" s="16">
        <f>IF(SUMIFS('데이터_광고'!$E$2:$E$500,'데이터_광고'!$A$2:$A$500,$A$4,'데이터_광고'!$B$2:$B$500,$A52,'데이터_광고'!$J$2:$J$500,"상시")=0,0,SUMIFS('데이터_광고'!$I$2:$I$500,'데이터_광고'!$A$2:$A$500,$A$4,'데이터_광고'!$B$2:$B$500,$A52,'데이터_광고'!$J$2:$J$500,"상시")/SUMIFS('데이터_광고'!$E$2:$E$500,'데이터_광고'!$A$2:$A$500,$A$4,'데이터_광고'!$B$2:$B$500,$A52,'데이터_광고'!$J$2:$J$500,"상시"))</f>
        <v/>
      </c>
      <c r="I52" s="16">
        <f>IF(SUMIFS('데이터_광고'!$E$2:$E$500,'데이터_광고'!$A$2:$A$500,$A$4,'데이터_광고'!$B$2:$B$500,$A52,'데이터_광고'!$J$2:$J$500,"행사")=0,0,SUMIFS('데이터_광고'!$I$2:$I$500,'데이터_광고'!$A$2:$A$500,$A$4,'데이터_광고'!$B$2:$B$500,$A52,'데이터_광고'!$J$2:$J$500,"행사")/SUMIFS('데이터_광고'!$E$2:$E$500,'데이터_광고'!$A$2:$A$500,$A$4,'데이터_광고'!$B$2:$B$500,$A52,'데이터_광고'!$J$2:$J$500,"행사"))</f>
        <v/>
      </c>
    </row>
    <row r="53">
      <c r="A53" s="15" t="inlineStr">
        <is>
          <t>메타 스스</t>
        </is>
      </c>
      <c r="B53" s="23">
        <f>IF(SUMIFS('데이터_광고'!$E$2:$E$500,'데이터_광고'!$A$2:$A$500,$A$4,'데이터_광고'!$B$2:$B$500,$A53,'데이터_광고'!$D$2:$D$500,B$47)=0,0,SUMIFS('데이터_광고'!$I$2:$I$500,'데이터_광고'!$A$2:$A$500,$A$4,'데이터_광고'!$B$2:$B$500,$A53,'데이터_광고'!$D$2:$D$500,B$47)/SUMIFS('데이터_광고'!$E$2:$E$500,'데이터_광고'!$A$2:$A$500,$A$4,'데이터_광고'!$B$2:$B$500,$A53,'데이터_광고'!$D$2:$D$500,B$47))</f>
        <v/>
      </c>
      <c r="C53" s="23">
        <f>IF(SUMIFS('데이터_광고'!$E$2:$E$500,'데이터_광고'!$A$2:$A$500,$A$4,'데이터_광고'!$B$2:$B$500,$A53,'데이터_광고'!$D$2:$D$500,C$47)=0,0,SUMIFS('데이터_광고'!$I$2:$I$500,'데이터_광고'!$A$2:$A$500,$A$4,'데이터_광고'!$B$2:$B$500,$A53,'데이터_광고'!$D$2:$D$500,C$47)/SUMIFS('데이터_광고'!$E$2:$E$500,'데이터_광고'!$A$2:$A$500,$A$4,'데이터_광고'!$B$2:$B$500,$A53,'데이터_광고'!$D$2:$D$500,C$47))</f>
        <v/>
      </c>
      <c r="D53" s="23">
        <f>IF(SUMIFS('데이터_광고'!$E$2:$E$500,'데이터_광고'!$A$2:$A$500,$A$4,'데이터_광고'!$B$2:$B$500,$A53,'데이터_광고'!$D$2:$D$500,D$47)=0,0,SUMIFS('데이터_광고'!$I$2:$I$500,'데이터_광고'!$A$2:$A$500,$A$4,'데이터_광고'!$B$2:$B$500,$A53,'데이터_광고'!$D$2:$D$500,D$47)/SUMIFS('데이터_광고'!$E$2:$E$500,'데이터_광고'!$A$2:$A$500,$A$4,'데이터_광고'!$B$2:$B$500,$A53,'데이터_광고'!$D$2:$D$500,D$47))</f>
        <v/>
      </c>
      <c r="E53" s="23">
        <f>IF(SUMIFS('데이터_광고'!$E$2:$E$500,'데이터_광고'!$A$2:$A$500,$A$4,'데이터_광고'!$B$2:$B$500,$A53,'데이터_광고'!$D$2:$D$500,E$47)=0,0,SUMIFS('데이터_광고'!$I$2:$I$500,'데이터_광고'!$A$2:$A$500,$A$4,'데이터_광고'!$B$2:$B$500,$A53,'데이터_광고'!$D$2:$D$500,E$47)/SUMIFS('데이터_광고'!$E$2:$E$500,'데이터_광고'!$A$2:$A$500,$A$4,'데이터_광고'!$B$2:$B$500,$A53,'데이터_광고'!$D$2:$D$500,E$47))</f>
        <v/>
      </c>
      <c r="F53" s="23">
        <f>IF(SUMIFS('데이터_광고'!$E$2:$E$500,'데이터_광고'!$A$2:$A$500,$A$4,'데이터_광고'!$B$2:$B$500,$A53,'데이터_광고'!$D$2:$D$500,F$47)=0,0,SUMIFS('데이터_광고'!$I$2:$I$500,'데이터_광고'!$A$2:$A$500,$A$4,'데이터_광고'!$B$2:$B$500,$A53,'데이터_광고'!$D$2:$D$500,F$47)/SUMIFS('데이터_광고'!$E$2:$E$500,'데이터_광고'!$A$2:$A$500,$A$4,'데이터_광고'!$B$2:$B$500,$A53,'데이터_광고'!$D$2:$D$500,F$47))</f>
        <v/>
      </c>
      <c r="G53" s="16">
        <f>IF(SUMIFS('데이터_광고'!$E$2:$E$500,'데이터_광고'!$A$2:$A$500,$A$4,'데이터_광고'!$B$2:$B$500,$A53)=0,0,SUMIFS('데이터_광고'!$I$2:$I$500,'데이터_광고'!$A$2:$A$500,$A$4,'데이터_광고'!$B$2:$B$500,$A53)/SUMIFS('데이터_광고'!$E$2:$E$500,'데이터_광고'!$A$2:$A$500,$A$4,'데이터_광고'!$B$2:$B$500,$A53))</f>
        <v/>
      </c>
      <c r="H53" s="16">
        <f>IF(SUMIFS('데이터_광고'!$E$2:$E$500,'데이터_광고'!$A$2:$A$500,$A$4,'데이터_광고'!$B$2:$B$500,$A53,'데이터_광고'!$J$2:$J$500,"상시")=0,0,SUMIFS('데이터_광고'!$I$2:$I$500,'데이터_광고'!$A$2:$A$500,$A$4,'데이터_광고'!$B$2:$B$500,$A53,'데이터_광고'!$J$2:$J$500,"상시")/SUMIFS('데이터_광고'!$E$2:$E$500,'데이터_광고'!$A$2:$A$500,$A$4,'데이터_광고'!$B$2:$B$500,$A53,'데이터_광고'!$J$2:$J$500,"상시"))</f>
        <v/>
      </c>
      <c r="I53" s="16">
        <f>IF(SUMIFS('데이터_광고'!$E$2:$E$500,'데이터_광고'!$A$2:$A$500,$A$4,'데이터_광고'!$B$2:$B$500,$A53,'데이터_광고'!$J$2:$J$500,"행사")=0,0,SUMIFS('데이터_광고'!$I$2:$I$500,'데이터_광고'!$A$2:$A$500,$A$4,'데이터_광고'!$B$2:$B$500,$A53,'데이터_광고'!$J$2:$J$500,"행사")/SUMIFS('데이터_광고'!$E$2:$E$500,'데이터_광고'!$A$2:$A$500,$A$4,'데이터_광고'!$B$2:$B$500,$A53,'데이터_광고'!$J$2:$J$500,"행사"))</f>
        <v/>
      </c>
    </row>
    <row r="54">
      <c r="A54" s="15" t="inlineStr">
        <is>
          <t>메타 자사몰</t>
        </is>
      </c>
      <c r="B54" s="23">
        <f>IF(SUMIFS('데이터_광고'!$E$2:$E$500,'데이터_광고'!$A$2:$A$500,$A$4,'데이터_광고'!$B$2:$B$500,$A54,'데이터_광고'!$D$2:$D$500,B$47)=0,0,SUMIFS('데이터_광고'!$I$2:$I$500,'데이터_광고'!$A$2:$A$500,$A$4,'데이터_광고'!$B$2:$B$500,$A54,'데이터_광고'!$D$2:$D$500,B$47)/SUMIFS('데이터_광고'!$E$2:$E$500,'데이터_광고'!$A$2:$A$500,$A$4,'데이터_광고'!$B$2:$B$500,$A54,'데이터_광고'!$D$2:$D$500,B$47))</f>
        <v/>
      </c>
      <c r="C54" s="23">
        <f>IF(SUMIFS('데이터_광고'!$E$2:$E$500,'데이터_광고'!$A$2:$A$500,$A$4,'데이터_광고'!$B$2:$B$500,$A54,'데이터_광고'!$D$2:$D$500,C$47)=0,0,SUMIFS('데이터_광고'!$I$2:$I$500,'데이터_광고'!$A$2:$A$500,$A$4,'데이터_광고'!$B$2:$B$500,$A54,'데이터_광고'!$D$2:$D$500,C$47)/SUMIFS('데이터_광고'!$E$2:$E$500,'데이터_광고'!$A$2:$A$500,$A$4,'데이터_광고'!$B$2:$B$500,$A54,'데이터_광고'!$D$2:$D$500,C$47))</f>
        <v/>
      </c>
      <c r="D54" s="23">
        <f>IF(SUMIFS('데이터_광고'!$E$2:$E$500,'데이터_광고'!$A$2:$A$500,$A$4,'데이터_광고'!$B$2:$B$500,$A54,'데이터_광고'!$D$2:$D$500,D$47)=0,0,SUMIFS('데이터_광고'!$I$2:$I$500,'데이터_광고'!$A$2:$A$500,$A$4,'데이터_광고'!$B$2:$B$500,$A54,'데이터_광고'!$D$2:$D$500,D$47)/SUMIFS('데이터_광고'!$E$2:$E$500,'데이터_광고'!$A$2:$A$500,$A$4,'데이터_광고'!$B$2:$B$500,$A54,'데이터_광고'!$D$2:$D$500,D$47))</f>
        <v/>
      </c>
      <c r="E54" s="23">
        <f>IF(SUMIFS('데이터_광고'!$E$2:$E$500,'데이터_광고'!$A$2:$A$500,$A$4,'데이터_광고'!$B$2:$B$500,$A54,'데이터_광고'!$D$2:$D$500,E$47)=0,0,SUMIFS('데이터_광고'!$I$2:$I$500,'데이터_광고'!$A$2:$A$500,$A$4,'데이터_광고'!$B$2:$B$500,$A54,'데이터_광고'!$D$2:$D$500,E$47)/SUMIFS('데이터_광고'!$E$2:$E$500,'데이터_광고'!$A$2:$A$500,$A$4,'데이터_광고'!$B$2:$B$500,$A54,'데이터_광고'!$D$2:$D$500,E$47))</f>
        <v/>
      </c>
      <c r="F54" s="23">
        <f>IF(SUMIFS('데이터_광고'!$E$2:$E$500,'데이터_광고'!$A$2:$A$500,$A$4,'데이터_광고'!$B$2:$B$500,$A54,'데이터_광고'!$D$2:$D$500,F$47)=0,0,SUMIFS('데이터_광고'!$I$2:$I$500,'데이터_광고'!$A$2:$A$500,$A$4,'데이터_광고'!$B$2:$B$500,$A54,'데이터_광고'!$D$2:$D$500,F$47)/SUMIFS('데이터_광고'!$E$2:$E$500,'데이터_광고'!$A$2:$A$500,$A$4,'데이터_광고'!$B$2:$B$500,$A54,'데이터_광고'!$D$2:$D$500,F$47))</f>
        <v/>
      </c>
      <c r="G54" s="16">
        <f>IF(SUMIFS('데이터_광고'!$E$2:$E$500,'데이터_광고'!$A$2:$A$500,$A$4,'데이터_광고'!$B$2:$B$500,$A54)=0,0,SUMIFS('데이터_광고'!$I$2:$I$500,'데이터_광고'!$A$2:$A$500,$A$4,'데이터_광고'!$B$2:$B$500,$A54)/SUMIFS('데이터_광고'!$E$2:$E$500,'데이터_광고'!$A$2:$A$500,$A$4,'데이터_광고'!$B$2:$B$500,$A54))</f>
        <v/>
      </c>
      <c r="H54" s="16">
        <f>IF(SUMIFS('데이터_광고'!$E$2:$E$500,'데이터_광고'!$A$2:$A$500,$A$4,'데이터_광고'!$B$2:$B$500,$A54,'데이터_광고'!$J$2:$J$500,"상시")=0,0,SUMIFS('데이터_광고'!$I$2:$I$500,'데이터_광고'!$A$2:$A$500,$A$4,'데이터_광고'!$B$2:$B$500,$A54,'데이터_광고'!$J$2:$J$500,"상시")/SUMIFS('데이터_광고'!$E$2:$E$500,'데이터_광고'!$A$2:$A$500,$A$4,'데이터_광고'!$B$2:$B$500,$A54,'데이터_광고'!$J$2:$J$500,"상시"))</f>
        <v/>
      </c>
      <c r="I54" s="16">
        <f>IF(SUMIFS('데이터_광고'!$E$2:$E$500,'데이터_광고'!$A$2:$A$500,$A$4,'데이터_광고'!$B$2:$B$500,$A54,'데이터_광고'!$J$2:$J$500,"행사")=0,0,SUMIFS('데이터_광고'!$I$2:$I$500,'데이터_광고'!$A$2:$A$500,$A$4,'데이터_광고'!$B$2:$B$500,$A54,'데이터_광고'!$J$2:$J$500,"행사")/SUMIFS('데이터_광고'!$E$2:$E$500,'데이터_광고'!$A$2:$A$500,$A$4,'데이터_광고'!$B$2:$B$500,$A54,'데이터_광고'!$J$2:$J$500,"행사"))</f>
        <v/>
      </c>
    </row>
    <row r="56">
      <c r="A56" s="21" t="inlineStr">
        <is>
          <t>광고비가 0이면 "-"로 표시합니다. 브랜드검색은 정액 대비 매출이며, GFA 전환 로지오가닉은 10/26 이후만 집행했습니다.</t>
        </is>
      </c>
    </row>
    <row r="58">
      <c r="A58" s="3" t="inlineStr">
        <is>
          <t>로지오가닉 매체별 ROAS</t>
        </is>
      </c>
    </row>
    <row r="59">
      <c r="A59" s="5" t="inlineStr">
        <is>
          <t>매체</t>
        </is>
      </c>
      <c r="B59" s="5">
        <f>'가정'!A50</f>
        <v/>
      </c>
      <c r="C59" s="5">
        <f>'가정'!A51</f>
        <v/>
      </c>
      <c r="D59" s="5">
        <f>'가정'!A52</f>
        <v/>
      </c>
      <c r="E59" s="5">
        <f>'가정'!A53</f>
        <v/>
      </c>
      <c r="F59" s="5">
        <f>'가정'!A54</f>
        <v/>
      </c>
      <c r="G59" s="5" t="inlineStr">
        <is>
          <t>10월 누계</t>
        </is>
      </c>
      <c r="H59" s="5" t="inlineStr">
        <is>
          <t>상시 구간</t>
        </is>
      </c>
      <c r="I59" s="5" t="inlineStr">
        <is>
          <t>행사 구간</t>
        </is>
      </c>
    </row>
    <row r="60">
      <c r="A60" s="15" t="inlineStr">
        <is>
          <t>파워링크</t>
        </is>
      </c>
      <c r="B60" s="23">
        <f>IF(SUMIFS('데이터_광고'!$E$2:$E$500,'데이터_광고'!$A$2:$A$500,$A$25,'데이터_광고'!$B$2:$B$500,$A60,'데이터_광고'!$D$2:$D$500,B$59)=0,0,SUMIFS('데이터_광고'!$I$2:$I$500,'데이터_광고'!$A$2:$A$500,$A$25,'데이터_광고'!$B$2:$B$500,$A60,'데이터_광고'!$D$2:$D$500,B$59)/SUMIFS('데이터_광고'!$E$2:$E$500,'데이터_광고'!$A$2:$A$500,$A$25,'데이터_광고'!$B$2:$B$500,$A60,'데이터_광고'!$D$2:$D$500,B$59))</f>
        <v/>
      </c>
      <c r="C60" s="23">
        <f>IF(SUMIFS('데이터_광고'!$E$2:$E$500,'데이터_광고'!$A$2:$A$500,$A$25,'데이터_광고'!$B$2:$B$500,$A60,'데이터_광고'!$D$2:$D$500,C$59)=0,0,SUMIFS('데이터_광고'!$I$2:$I$500,'데이터_광고'!$A$2:$A$500,$A$25,'데이터_광고'!$B$2:$B$500,$A60,'데이터_광고'!$D$2:$D$500,C$59)/SUMIFS('데이터_광고'!$E$2:$E$500,'데이터_광고'!$A$2:$A$500,$A$25,'데이터_광고'!$B$2:$B$500,$A60,'데이터_광고'!$D$2:$D$500,C$59))</f>
        <v/>
      </c>
      <c r="D60" s="23">
        <f>IF(SUMIFS('데이터_광고'!$E$2:$E$500,'데이터_광고'!$A$2:$A$500,$A$25,'데이터_광고'!$B$2:$B$500,$A60,'데이터_광고'!$D$2:$D$500,D$59)=0,0,SUMIFS('데이터_광고'!$I$2:$I$500,'데이터_광고'!$A$2:$A$500,$A$25,'데이터_광고'!$B$2:$B$500,$A60,'데이터_광고'!$D$2:$D$500,D$59)/SUMIFS('데이터_광고'!$E$2:$E$500,'데이터_광고'!$A$2:$A$500,$A$25,'데이터_광고'!$B$2:$B$500,$A60,'데이터_광고'!$D$2:$D$500,D$59))</f>
        <v/>
      </c>
      <c r="E60" s="23">
        <f>IF(SUMIFS('데이터_광고'!$E$2:$E$500,'데이터_광고'!$A$2:$A$500,$A$25,'데이터_광고'!$B$2:$B$500,$A60,'데이터_광고'!$D$2:$D$500,E$59)=0,0,SUMIFS('데이터_광고'!$I$2:$I$500,'데이터_광고'!$A$2:$A$500,$A$25,'데이터_광고'!$B$2:$B$500,$A60,'데이터_광고'!$D$2:$D$500,E$59)/SUMIFS('데이터_광고'!$E$2:$E$500,'데이터_광고'!$A$2:$A$500,$A$25,'데이터_광고'!$B$2:$B$500,$A60,'데이터_광고'!$D$2:$D$500,E$59))</f>
        <v/>
      </c>
      <c r="F60" s="23">
        <f>IF(SUMIFS('데이터_광고'!$E$2:$E$500,'데이터_광고'!$A$2:$A$500,$A$25,'데이터_광고'!$B$2:$B$500,$A60,'데이터_광고'!$D$2:$D$500,F$59)=0,0,SUMIFS('데이터_광고'!$I$2:$I$500,'데이터_광고'!$A$2:$A$500,$A$25,'데이터_광고'!$B$2:$B$500,$A60,'데이터_광고'!$D$2:$D$500,F$59)/SUMIFS('데이터_광고'!$E$2:$E$500,'데이터_광고'!$A$2:$A$500,$A$25,'데이터_광고'!$B$2:$B$500,$A60,'데이터_광고'!$D$2:$D$500,F$59))</f>
        <v/>
      </c>
      <c r="G60" s="16">
        <f>IF(SUMIFS('데이터_광고'!$E$2:$E$500,'데이터_광고'!$A$2:$A$500,$A$25,'데이터_광고'!$B$2:$B$500,$A60)=0,0,SUMIFS('데이터_광고'!$I$2:$I$500,'데이터_광고'!$A$2:$A$500,$A$25,'데이터_광고'!$B$2:$B$500,$A60)/SUMIFS('데이터_광고'!$E$2:$E$500,'데이터_광고'!$A$2:$A$500,$A$25,'데이터_광고'!$B$2:$B$500,$A60))</f>
        <v/>
      </c>
      <c r="H60" s="16">
        <f>IF(SUMIFS('데이터_광고'!$E$2:$E$500,'데이터_광고'!$A$2:$A$500,$A$25,'데이터_광고'!$B$2:$B$500,$A60,'데이터_광고'!$J$2:$J$500,"상시")=0,0,SUMIFS('데이터_광고'!$I$2:$I$500,'데이터_광고'!$A$2:$A$500,$A$25,'데이터_광고'!$B$2:$B$500,$A60,'데이터_광고'!$J$2:$J$500,"상시")/SUMIFS('데이터_광고'!$E$2:$E$500,'데이터_광고'!$A$2:$A$500,$A$25,'데이터_광고'!$B$2:$B$500,$A60,'데이터_광고'!$J$2:$J$500,"상시"))</f>
        <v/>
      </c>
      <c r="I60" s="16">
        <f>IF(SUMIFS('데이터_광고'!$E$2:$E$500,'데이터_광고'!$A$2:$A$500,$A$25,'데이터_광고'!$B$2:$B$500,$A60,'데이터_광고'!$J$2:$J$500,"행사")=0,0,SUMIFS('데이터_광고'!$I$2:$I$500,'데이터_광고'!$A$2:$A$500,$A$25,'데이터_광고'!$B$2:$B$500,$A60,'데이터_광고'!$J$2:$J$500,"행사")/SUMIFS('데이터_광고'!$E$2:$E$500,'데이터_광고'!$A$2:$A$500,$A$25,'데이터_광고'!$B$2:$B$500,$A60,'데이터_광고'!$J$2:$J$500,"행사"))</f>
        <v/>
      </c>
    </row>
    <row r="61">
      <c r="A61" s="15" t="inlineStr">
        <is>
          <t>쇼핑검색</t>
        </is>
      </c>
      <c r="B61" s="23">
        <f>IF(SUMIFS('데이터_광고'!$E$2:$E$500,'데이터_광고'!$A$2:$A$500,$A$25,'데이터_광고'!$B$2:$B$500,$A61,'데이터_광고'!$D$2:$D$500,B$59)=0,0,SUMIFS('데이터_광고'!$I$2:$I$500,'데이터_광고'!$A$2:$A$500,$A$25,'데이터_광고'!$B$2:$B$500,$A61,'데이터_광고'!$D$2:$D$500,B$59)/SUMIFS('데이터_광고'!$E$2:$E$500,'데이터_광고'!$A$2:$A$500,$A$25,'데이터_광고'!$B$2:$B$500,$A61,'데이터_광고'!$D$2:$D$500,B$59))</f>
        <v/>
      </c>
      <c r="C61" s="23">
        <f>IF(SUMIFS('데이터_광고'!$E$2:$E$500,'데이터_광고'!$A$2:$A$500,$A$25,'데이터_광고'!$B$2:$B$500,$A61,'데이터_광고'!$D$2:$D$500,C$59)=0,0,SUMIFS('데이터_광고'!$I$2:$I$500,'데이터_광고'!$A$2:$A$500,$A$25,'데이터_광고'!$B$2:$B$500,$A61,'데이터_광고'!$D$2:$D$500,C$59)/SUMIFS('데이터_광고'!$E$2:$E$500,'데이터_광고'!$A$2:$A$500,$A$25,'데이터_광고'!$B$2:$B$500,$A61,'데이터_광고'!$D$2:$D$500,C$59))</f>
        <v/>
      </c>
      <c r="D61" s="23">
        <f>IF(SUMIFS('데이터_광고'!$E$2:$E$500,'데이터_광고'!$A$2:$A$500,$A$25,'데이터_광고'!$B$2:$B$500,$A61,'데이터_광고'!$D$2:$D$500,D$59)=0,0,SUMIFS('데이터_광고'!$I$2:$I$500,'데이터_광고'!$A$2:$A$500,$A$25,'데이터_광고'!$B$2:$B$500,$A61,'데이터_광고'!$D$2:$D$500,D$59)/SUMIFS('데이터_광고'!$E$2:$E$500,'데이터_광고'!$A$2:$A$500,$A$25,'데이터_광고'!$B$2:$B$500,$A61,'데이터_광고'!$D$2:$D$500,D$59))</f>
        <v/>
      </c>
      <c r="E61" s="23">
        <f>IF(SUMIFS('데이터_광고'!$E$2:$E$500,'데이터_광고'!$A$2:$A$500,$A$25,'데이터_광고'!$B$2:$B$500,$A61,'데이터_광고'!$D$2:$D$500,E$59)=0,0,SUMIFS('데이터_광고'!$I$2:$I$500,'데이터_광고'!$A$2:$A$500,$A$25,'데이터_광고'!$B$2:$B$500,$A61,'데이터_광고'!$D$2:$D$500,E$59)/SUMIFS('데이터_광고'!$E$2:$E$500,'데이터_광고'!$A$2:$A$500,$A$25,'데이터_광고'!$B$2:$B$500,$A61,'데이터_광고'!$D$2:$D$500,E$59))</f>
        <v/>
      </c>
      <c r="F61" s="23">
        <f>IF(SUMIFS('데이터_광고'!$E$2:$E$500,'데이터_광고'!$A$2:$A$500,$A$25,'데이터_광고'!$B$2:$B$500,$A61,'데이터_광고'!$D$2:$D$500,F$59)=0,0,SUMIFS('데이터_광고'!$I$2:$I$500,'데이터_광고'!$A$2:$A$500,$A$25,'데이터_광고'!$B$2:$B$500,$A61,'데이터_광고'!$D$2:$D$500,F$59)/SUMIFS('데이터_광고'!$E$2:$E$500,'데이터_광고'!$A$2:$A$500,$A$25,'데이터_광고'!$B$2:$B$500,$A61,'데이터_광고'!$D$2:$D$500,F$59))</f>
        <v/>
      </c>
      <c r="G61" s="16">
        <f>IF(SUMIFS('데이터_광고'!$E$2:$E$500,'데이터_광고'!$A$2:$A$500,$A$25,'데이터_광고'!$B$2:$B$500,$A61)=0,0,SUMIFS('데이터_광고'!$I$2:$I$500,'데이터_광고'!$A$2:$A$500,$A$25,'데이터_광고'!$B$2:$B$500,$A61)/SUMIFS('데이터_광고'!$E$2:$E$500,'데이터_광고'!$A$2:$A$500,$A$25,'데이터_광고'!$B$2:$B$500,$A61))</f>
        <v/>
      </c>
      <c r="H61" s="16">
        <f>IF(SUMIFS('데이터_광고'!$E$2:$E$500,'데이터_광고'!$A$2:$A$500,$A$25,'데이터_광고'!$B$2:$B$500,$A61,'데이터_광고'!$J$2:$J$500,"상시")=0,0,SUMIFS('데이터_광고'!$I$2:$I$500,'데이터_광고'!$A$2:$A$500,$A$25,'데이터_광고'!$B$2:$B$500,$A61,'데이터_광고'!$J$2:$J$500,"상시")/SUMIFS('데이터_광고'!$E$2:$E$500,'데이터_광고'!$A$2:$A$500,$A$25,'데이터_광고'!$B$2:$B$500,$A61,'데이터_광고'!$J$2:$J$500,"상시"))</f>
        <v/>
      </c>
      <c r="I61" s="16">
        <f>IF(SUMIFS('데이터_광고'!$E$2:$E$500,'데이터_광고'!$A$2:$A$500,$A$25,'데이터_광고'!$B$2:$B$500,$A61,'데이터_광고'!$J$2:$J$500,"행사")=0,0,SUMIFS('데이터_광고'!$I$2:$I$500,'데이터_광고'!$A$2:$A$500,$A$25,'데이터_광고'!$B$2:$B$500,$A61,'데이터_광고'!$J$2:$J$500,"행사")/SUMIFS('데이터_광고'!$E$2:$E$500,'데이터_광고'!$A$2:$A$500,$A$25,'데이터_광고'!$B$2:$B$500,$A61,'데이터_광고'!$J$2:$J$500,"행사"))</f>
        <v/>
      </c>
    </row>
    <row r="62">
      <c r="A62" s="15" t="inlineStr">
        <is>
          <t>브랜드검색</t>
        </is>
      </c>
      <c r="B62" s="23">
        <f>IF(SUMIFS('데이터_광고'!$E$2:$E$500,'데이터_광고'!$A$2:$A$500,$A$25,'데이터_광고'!$B$2:$B$500,$A62,'데이터_광고'!$D$2:$D$500,B$59)=0,0,SUMIFS('데이터_광고'!$I$2:$I$500,'데이터_광고'!$A$2:$A$500,$A$25,'데이터_광고'!$B$2:$B$500,$A62,'데이터_광고'!$D$2:$D$500,B$59)/SUMIFS('데이터_광고'!$E$2:$E$500,'데이터_광고'!$A$2:$A$500,$A$25,'데이터_광고'!$B$2:$B$500,$A62,'데이터_광고'!$D$2:$D$500,B$59))</f>
        <v/>
      </c>
      <c r="C62" s="23">
        <f>IF(SUMIFS('데이터_광고'!$E$2:$E$500,'데이터_광고'!$A$2:$A$500,$A$25,'데이터_광고'!$B$2:$B$500,$A62,'데이터_광고'!$D$2:$D$500,C$59)=0,0,SUMIFS('데이터_광고'!$I$2:$I$500,'데이터_광고'!$A$2:$A$500,$A$25,'데이터_광고'!$B$2:$B$500,$A62,'데이터_광고'!$D$2:$D$500,C$59)/SUMIFS('데이터_광고'!$E$2:$E$500,'데이터_광고'!$A$2:$A$500,$A$25,'데이터_광고'!$B$2:$B$500,$A62,'데이터_광고'!$D$2:$D$500,C$59))</f>
        <v/>
      </c>
      <c r="D62" s="23">
        <f>IF(SUMIFS('데이터_광고'!$E$2:$E$500,'데이터_광고'!$A$2:$A$500,$A$25,'데이터_광고'!$B$2:$B$500,$A62,'데이터_광고'!$D$2:$D$500,D$59)=0,0,SUMIFS('데이터_광고'!$I$2:$I$500,'데이터_광고'!$A$2:$A$500,$A$25,'데이터_광고'!$B$2:$B$500,$A62,'데이터_광고'!$D$2:$D$500,D$59)/SUMIFS('데이터_광고'!$E$2:$E$500,'데이터_광고'!$A$2:$A$500,$A$25,'데이터_광고'!$B$2:$B$500,$A62,'데이터_광고'!$D$2:$D$500,D$59))</f>
        <v/>
      </c>
      <c r="E62" s="23">
        <f>IF(SUMIFS('데이터_광고'!$E$2:$E$500,'데이터_광고'!$A$2:$A$500,$A$25,'데이터_광고'!$B$2:$B$500,$A62,'데이터_광고'!$D$2:$D$500,E$59)=0,0,SUMIFS('데이터_광고'!$I$2:$I$500,'데이터_광고'!$A$2:$A$500,$A$25,'데이터_광고'!$B$2:$B$500,$A62,'데이터_광고'!$D$2:$D$500,E$59)/SUMIFS('데이터_광고'!$E$2:$E$500,'데이터_광고'!$A$2:$A$500,$A$25,'데이터_광고'!$B$2:$B$500,$A62,'데이터_광고'!$D$2:$D$500,E$59))</f>
        <v/>
      </c>
      <c r="F62" s="23">
        <f>IF(SUMIFS('데이터_광고'!$E$2:$E$500,'데이터_광고'!$A$2:$A$500,$A$25,'데이터_광고'!$B$2:$B$500,$A62,'데이터_광고'!$D$2:$D$500,F$59)=0,0,SUMIFS('데이터_광고'!$I$2:$I$500,'데이터_광고'!$A$2:$A$500,$A$25,'데이터_광고'!$B$2:$B$500,$A62,'데이터_광고'!$D$2:$D$500,F$59)/SUMIFS('데이터_광고'!$E$2:$E$500,'데이터_광고'!$A$2:$A$500,$A$25,'데이터_광고'!$B$2:$B$500,$A62,'데이터_광고'!$D$2:$D$500,F$59))</f>
        <v/>
      </c>
      <c r="G62" s="16">
        <f>IF(SUMIFS('데이터_광고'!$E$2:$E$500,'데이터_광고'!$A$2:$A$500,$A$25,'데이터_광고'!$B$2:$B$500,$A62)=0,0,SUMIFS('데이터_광고'!$I$2:$I$500,'데이터_광고'!$A$2:$A$500,$A$25,'데이터_광고'!$B$2:$B$500,$A62)/SUMIFS('데이터_광고'!$E$2:$E$500,'데이터_광고'!$A$2:$A$500,$A$25,'데이터_광고'!$B$2:$B$500,$A62))</f>
        <v/>
      </c>
      <c r="H62" s="16">
        <f>IF(SUMIFS('데이터_광고'!$E$2:$E$500,'데이터_광고'!$A$2:$A$500,$A$25,'데이터_광고'!$B$2:$B$500,$A62,'데이터_광고'!$J$2:$J$500,"상시")=0,0,SUMIFS('데이터_광고'!$I$2:$I$500,'데이터_광고'!$A$2:$A$500,$A$25,'데이터_광고'!$B$2:$B$500,$A62,'데이터_광고'!$J$2:$J$500,"상시")/SUMIFS('데이터_광고'!$E$2:$E$500,'데이터_광고'!$A$2:$A$500,$A$25,'데이터_광고'!$B$2:$B$500,$A62,'데이터_광고'!$J$2:$J$500,"상시"))</f>
        <v/>
      </c>
      <c r="I62" s="16">
        <f>IF(SUMIFS('데이터_광고'!$E$2:$E$500,'데이터_광고'!$A$2:$A$500,$A$25,'데이터_광고'!$B$2:$B$500,$A62,'데이터_광고'!$J$2:$J$500,"행사")=0,0,SUMIFS('데이터_광고'!$I$2:$I$500,'데이터_광고'!$A$2:$A$500,$A$25,'데이터_광고'!$B$2:$B$500,$A62,'데이터_광고'!$J$2:$J$500,"행사")/SUMIFS('데이터_광고'!$E$2:$E$500,'데이터_광고'!$A$2:$A$500,$A$25,'데이터_광고'!$B$2:$B$500,$A62,'데이터_광고'!$J$2:$J$500,"행사"))</f>
        <v/>
      </c>
    </row>
    <row r="63">
      <c r="A63" s="15" t="inlineStr">
        <is>
          <t>GFA 카탈로그</t>
        </is>
      </c>
      <c r="B63" s="23">
        <f>IF(SUMIFS('데이터_광고'!$E$2:$E$500,'데이터_광고'!$A$2:$A$500,$A$25,'데이터_광고'!$B$2:$B$500,$A63,'데이터_광고'!$D$2:$D$500,B$59)=0,0,SUMIFS('데이터_광고'!$I$2:$I$500,'데이터_광고'!$A$2:$A$500,$A$25,'데이터_광고'!$B$2:$B$500,$A63,'데이터_광고'!$D$2:$D$500,B$59)/SUMIFS('데이터_광고'!$E$2:$E$500,'데이터_광고'!$A$2:$A$500,$A$25,'데이터_광고'!$B$2:$B$500,$A63,'데이터_광고'!$D$2:$D$500,B$59))</f>
        <v/>
      </c>
      <c r="C63" s="23">
        <f>IF(SUMIFS('데이터_광고'!$E$2:$E$500,'데이터_광고'!$A$2:$A$500,$A$25,'데이터_광고'!$B$2:$B$500,$A63,'데이터_광고'!$D$2:$D$500,C$59)=0,0,SUMIFS('데이터_광고'!$I$2:$I$500,'데이터_광고'!$A$2:$A$500,$A$25,'데이터_광고'!$B$2:$B$500,$A63,'데이터_광고'!$D$2:$D$500,C$59)/SUMIFS('데이터_광고'!$E$2:$E$500,'데이터_광고'!$A$2:$A$500,$A$25,'데이터_광고'!$B$2:$B$500,$A63,'데이터_광고'!$D$2:$D$500,C$59))</f>
        <v/>
      </c>
      <c r="D63" s="23">
        <f>IF(SUMIFS('데이터_광고'!$E$2:$E$500,'데이터_광고'!$A$2:$A$500,$A$25,'데이터_광고'!$B$2:$B$500,$A63,'데이터_광고'!$D$2:$D$500,D$59)=0,0,SUMIFS('데이터_광고'!$I$2:$I$500,'데이터_광고'!$A$2:$A$500,$A$25,'데이터_광고'!$B$2:$B$500,$A63,'데이터_광고'!$D$2:$D$500,D$59)/SUMIFS('데이터_광고'!$E$2:$E$500,'데이터_광고'!$A$2:$A$500,$A$25,'데이터_광고'!$B$2:$B$500,$A63,'데이터_광고'!$D$2:$D$500,D$59))</f>
        <v/>
      </c>
      <c r="E63" s="23">
        <f>IF(SUMIFS('데이터_광고'!$E$2:$E$500,'데이터_광고'!$A$2:$A$500,$A$25,'데이터_광고'!$B$2:$B$500,$A63,'데이터_광고'!$D$2:$D$500,E$59)=0,0,SUMIFS('데이터_광고'!$I$2:$I$500,'데이터_광고'!$A$2:$A$500,$A$25,'데이터_광고'!$B$2:$B$500,$A63,'데이터_광고'!$D$2:$D$500,E$59)/SUMIFS('데이터_광고'!$E$2:$E$500,'데이터_광고'!$A$2:$A$500,$A$25,'데이터_광고'!$B$2:$B$500,$A63,'데이터_광고'!$D$2:$D$500,E$59))</f>
        <v/>
      </c>
      <c r="F63" s="23">
        <f>IF(SUMIFS('데이터_광고'!$E$2:$E$500,'데이터_광고'!$A$2:$A$500,$A$25,'데이터_광고'!$B$2:$B$500,$A63,'데이터_광고'!$D$2:$D$500,F$59)=0,0,SUMIFS('데이터_광고'!$I$2:$I$500,'데이터_광고'!$A$2:$A$500,$A$25,'데이터_광고'!$B$2:$B$500,$A63,'데이터_광고'!$D$2:$D$500,F$59)/SUMIFS('데이터_광고'!$E$2:$E$500,'데이터_광고'!$A$2:$A$500,$A$25,'데이터_광고'!$B$2:$B$500,$A63,'데이터_광고'!$D$2:$D$500,F$59))</f>
        <v/>
      </c>
      <c r="G63" s="16">
        <f>IF(SUMIFS('데이터_광고'!$E$2:$E$500,'데이터_광고'!$A$2:$A$500,$A$25,'데이터_광고'!$B$2:$B$500,$A63)=0,0,SUMIFS('데이터_광고'!$I$2:$I$500,'데이터_광고'!$A$2:$A$500,$A$25,'데이터_광고'!$B$2:$B$500,$A63)/SUMIFS('데이터_광고'!$E$2:$E$500,'데이터_광고'!$A$2:$A$500,$A$25,'데이터_광고'!$B$2:$B$500,$A63))</f>
        <v/>
      </c>
      <c r="H63" s="16">
        <f>IF(SUMIFS('데이터_광고'!$E$2:$E$500,'데이터_광고'!$A$2:$A$500,$A$25,'데이터_광고'!$B$2:$B$500,$A63,'데이터_광고'!$J$2:$J$500,"상시")=0,0,SUMIFS('데이터_광고'!$I$2:$I$500,'데이터_광고'!$A$2:$A$500,$A$25,'데이터_광고'!$B$2:$B$500,$A63,'데이터_광고'!$J$2:$J$500,"상시")/SUMIFS('데이터_광고'!$E$2:$E$500,'데이터_광고'!$A$2:$A$500,$A$25,'데이터_광고'!$B$2:$B$500,$A63,'데이터_광고'!$J$2:$J$500,"상시"))</f>
        <v/>
      </c>
      <c r="I63" s="16">
        <f>IF(SUMIFS('데이터_광고'!$E$2:$E$500,'데이터_광고'!$A$2:$A$500,$A$25,'데이터_광고'!$B$2:$B$500,$A63,'데이터_광고'!$J$2:$J$500,"행사")=0,0,SUMIFS('데이터_광고'!$I$2:$I$500,'데이터_광고'!$A$2:$A$500,$A$25,'데이터_광고'!$B$2:$B$500,$A63,'데이터_광고'!$J$2:$J$500,"행사")/SUMIFS('데이터_광고'!$E$2:$E$500,'데이터_광고'!$A$2:$A$500,$A$25,'데이터_광고'!$B$2:$B$500,$A63,'데이터_광고'!$J$2:$J$500,"행사"))</f>
        <v/>
      </c>
    </row>
    <row r="64">
      <c r="A64" s="15" t="inlineStr">
        <is>
          <t>GFA 전환</t>
        </is>
      </c>
      <c r="B64" s="23">
        <f>IF(SUMIFS('데이터_광고'!$E$2:$E$500,'데이터_광고'!$A$2:$A$500,$A$25,'데이터_광고'!$B$2:$B$500,$A64,'데이터_광고'!$D$2:$D$500,B$59)=0,0,SUMIFS('데이터_광고'!$I$2:$I$500,'데이터_광고'!$A$2:$A$500,$A$25,'데이터_광고'!$B$2:$B$500,$A64,'데이터_광고'!$D$2:$D$500,B$59)/SUMIFS('데이터_광고'!$E$2:$E$500,'데이터_광고'!$A$2:$A$500,$A$25,'데이터_광고'!$B$2:$B$500,$A64,'데이터_광고'!$D$2:$D$500,B$59))</f>
        <v/>
      </c>
      <c r="C64" s="23">
        <f>IF(SUMIFS('데이터_광고'!$E$2:$E$500,'데이터_광고'!$A$2:$A$500,$A$25,'데이터_광고'!$B$2:$B$500,$A64,'데이터_광고'!$D$2:$D$500,C$59)=0,0,SUMIFS('데이터_광고'!$I$2:$I$500,'데이터_광고'!$A$2:$A$500,$A$25,'데이터_광고'!$B$2:$B$500,$A64,'데이터_광고'!$D$2:$D$500,C$59)/SUMIFS('데이터_광고'!$E$2:$E$500,'데이터_광고'!$A$2:$A$500,$A$25,'데이터_광고'!$B$2:$B$500,$A64,'데이터_광고'!$D$2:$D$500,C$59))</f>
        <v/>
      </c>
      <c r="D64" s="23">
        <f>IF(SUMIFS('데이터_광고'!$E$2:$E$500,'데이터_광고'!$A$2:$A$500,$A$25,'데이터_광고'!$B$2:$B$500,$A64,'데이터_광고'!$D$2:$D$500,D$59)=0,0,SUMIFS('데이터_광고'!$I$2:$I$500,'데이터_광고'!$A$2:$A$500,$A$25,'데이터_광고'!$B$2:$B$500,$A64,'데이터_광고'!$D$2:$D$500,D$59)/SUMIFS('데이터_광고'!$E$2:$E$500,'데이터_광고'!$A$2:$A$500,$A$25,'데이터_광고'!$B$2:$B$500,$A64,'데이터_광고'!$D$2:$D$500,D$59))</f>
        <v/>
      </c>
      <c r="E64" s="23">
        <f>IF(SUMIFS('데이터_광고'!$E$2:$E$500,'데이터_광고'!$A$2:$A$500,$A$25,'데이터_광고'!$B$2:$B$500,$A64,'데이터_광고'!$D$2:$D$500,E$59)=0,0,SUMIFS('데이터_광고'!$I$2:$I$500,'데이터_광고'!$A$2:$A$500,$A$25,'데이터_광고'!$B$2:$B$500,$A64,'데이터_광고'!$D$2:$D$500,E$59)/SUMIFS('데이터_광고'!$E$2:$E$500,'데이터_광고'!$A$2:$A$500,$A$25,'데이터_광고'!$B$2:$B$500,$A64,'데이터_광고'!$D$2:$D$500,E$59))</f>
        <v/>
      </c>
      <c r="F64" s="23">
        <f>IF(SUMIFS('데이터_광고'!$E$2:$E$500,'데이터_광고'!$A$2:$A$500,$A$25,'데이터_광고'!$B$2:$B$500,$A64,'데이터_광고'!$D$2:$D$500,F$59)=0,0,SUMIFS('데이터_광고'!$I$2:$I$500,'데이터_광고'!$A$2:$A$500,$A$25,'데이터_광고'!$B$2:$B$500,$A64,'데이터_광고'!$D$2:$D$500,F$59)/SUMIFS('데이터_광고'!$E$2:$E$500,'데이터_광고'!$A$2:$A$500,$A$25,'데이터_광고'!$B$2:$B$500,$A64,'데이터_광고'!$D$2:$D$500,F$59))</f>
        <v/>
      </c>
      <c r="G64" s="16">
        <f>IF(SUMIFS('데이터_광고'!$E$2:$E$500,'데이터_광고'!$A$2:$A$500,$A$25,'데이터_광고'!$B$2:$B$500,$A64)=0,0,SUMIFS('데이터_광고'!$I$2:$I$500,'데이터_광고'!$A$2:$A$500,$A$25,'데이터_광고'!$B$2:$B$500,$A64)/SUMIFS('데이터_광고'!$E$2:$E$500,'데이터_광고'!$A$2:$A$500,$A$25,'데이터_광고'!$B$2:$B$500,$A64))</f>
        <v/>
      </c>
      <c r="H64" s="16">
        <f>IF(SUMIFS('데이터_광고'!$E$2:$E$500,'데이터_광고'!$A$2:$A$500,$A$25,'데이터_광고'!$B$2:$B$500,$A64,'데이터_광고'!$J$2:$J$500,"상시")=0,0,SUMIFS('데이터_광고'!$I$2:$I$500,'데이터_광고'!$A$2:$A$500,$A$25,'데이터_광고'!$B$2:$B$500,$A64,'데이터_광고'!$J$2:$J$500,"상시")/SUMIFS('데이터_광고'!$E$2:$E$500,'데이터_광고'!$A$2:$A$500,$A$25,'데이터_광고'!$B$2:$B$500,$A64,'데이터_광고'!$J$2:$J$500,"상시"))</f>
        <v/>
      </c>
      <c r="I64" s="16">
        <f>IF(SUMIFS('데이터_광고'!$E$2:$E$500,'데이터_광고'!$A$2:$A$500,$A$25,'데이터_광고'!$B$2:$B$500,$A64,'데이터_광고'!$J$2:$J$500,"행사")=0,0,SUMIFS('데이터_광고'!$I$2:$I$500,'데이터_광고'!$A$2:$A$500,$A$25,'데이터_광고'!$B$2:$B$500,$A64,'데이터_광고'!$J$2:$J$500,"행사")/SUMIFS('데이터_광고'!$E$2:$E$500,'데이터_광고'!$A$2:$A$500,$A$25,'데이터_광고'!$B$2:$B$500,$A64,'데이터_광고'!$J$2:$J$500,"행사"))</f>
        <v/>
      </c>
    </row>
    <row r="65">
      <c r="A65" s="15" t="inlineStr">
        <is>
          <t>메타 스스</t>
        </is>
      </c>
      <c r="B65" s="23">
        <f>IF(SUMIFS('데이터_광고'!$E$2:$E$500,'데이터_광고'!$A$2:$A$500,$A$25,'데이터_광고'!$B$2:$B$500,$A65,'데이터_광고'!$D$2:$D$500,B$59)=0,0,SUMIFS('데이터_광고'!$I$2:$I$500,'데이터_광고'!$A$2:$A$500,$A$25,'데이터_광고'!$B$2:$B$500,$A65,'데이터_광고'!$D$2:$D$500,B$59)/SUMIFS('데이터_광고'!$E$2:$E$500,'데이터_광고'!$A$2:$A$500,$A$25,'데이터_광고'!$B$2:$B$500,$A65,'데이터_광고'!$D$2:$D$500,B$59))</f>
        <v/>
      </c>
      <c r="C65" s="23">
        <f>IF(SUMIFS('데이터_광고'!$E$2:$E$500,'데이터_광고'!$A$2:$A$500,$A$25,'데이터_광고'!$B$2:$B$500,$A65,'데이터_광고'!$D$2:$D$500,C$59)=0,0,SUMIFS('데이터_광고'!$I$2:$I$500,'데이터_광고'!$A$2:$A$500,$A$25,'데이터_광고'!$B$2:$B$500,$A65,'데이터_광고'!$D$2:$D$500,C$59)/SUMIFS('데이터_광고'!$E$2:$E$500,'데이터_광고'!$A$2:$A$500,$A$25,'데이터_광고'!$B$2:$B$500,$A65,'데이터_광고'!$D$2:$D$500,C$59))</f>
        <v/>
      </c>
      <c r="D65" s="23">
        <f>IF(SUMIFS('데이터_광고'!$E$2:$E$500,'데이터_광고'!$A$2:$A$500,$A$25,'데이터_광고'!$B$2:$B$500,$A65,'데이터_광고'!$D$2:$D$500,D$59)=0,0,SUMIFS('데이터_광고'!$I$2:$I$500,'데이터_광고'!$A$2:$A$500,$A$25,'데이터_광고'!$B$2:$B$500,$A65,'데이터_광고'!$D$2:$D$500,D$59)/SUMIFS('데이터_광고'!$E$2:$E$500,'데이터_광고'!$A$2:$A$500,$A$25,'데이터_광고'!$B$2:$B$500,$A65,'데이터_광고'!$D$2:$D$500,D$59))</f>
        <v/>
      </c>
      <c r="E65" s="23">
        <f>IF(SUMIFS('데이터_광고'!$E$2:$E$500,'데이터_광고'!$A$2:$A$500,$A$25,'데이터_광고'!$B$2:$B$500,$A65,'데이터_광고'!$D$2:$D$500,E$59)=0,0,SUMIFS('데이터_광고'!$I$2:$I$500,'데이터_광고'!$A$2:$A$500,$A$25,'데이터_광고'!$B$2:$B$500,$A65,'데이터_광고'!$D$2:$D$500,E$59)/SUMIFS('데이터_광고'!$E$2:$E$500,'데이터_광고'!$A$2:$A$500,$A$25,'데이터_광고'!$B$2:$B$500,$A65,'데이터_광고'!$D$2:$D$500,E$59))</f>
        <v/>
      </c>
      <c r="F65" s="23">
        <f>IF(SUMIFS('데이터_광고'!$E$2:$E$500,'데이터_광고'!$A$2:$A$500,$A$25,'데이터_광고'!$B$2:$B$500,$A65,'데이터_광고'!$D$2:$D$500,F$59)=0,0,SUMIFS('데이터_광고'!$I$2:$I$500,'데이터_광고'!$A$2:$A$500,$A$25,'데이터_광고'!$B$2:$B$500,$A65,'데이터_광고'!$D$2:$D$500,F$59)/SUMIFS('데이터_광고'!$E$2:$E$500,'데이터_광고'!$A$2:$A$500,$A$25,'데이터_광고'!$B$2:$B$500,$A65,'데이터_광고'!$D$2:$D$500,F$59))</f>
        <v/>
      </c>
      <c r="G65" s="16">
        <f>IF(SUMIFS('데이터_광고'!$E$2:$E$500,'데이터_광고'!$A$2:$A$500,$A$25,'데이터_광고'!$B$2:$B$500,$A65)=0,0,SUMIFS('데이터_광고'!$I$2:$I$500,'데이터_광고'!$A$2:$A$500,$A$25,'데이터_광고'!$B$2:$B$500,$A65)/SUMIFS('데이터_광고'!$E$2:$E$500,'데이터_광고'!$A$2:$A$500,$A$25,'데이터_광고'!$B$2:$B$500,$A65))</f>
        <v/>
      </c>
      <c r="H65" s="16">
        <f>IF(SUMIFS('데이터_광고'!$E$2:$E$500,'데이터_광고'!$A$2:$A$500,$A$25,'데이터_광고'!$B$2:$B$500,$A65,'데이터_광고'!$J$2:$J$500,"상시")=0,0,SUMIFS('데이터_광고'!$I$2:$I$500,'데이터_광고'!$A$2:$A$500,$A$25,'데이터_광고'!$B$2:$B$500,$A65,'데이터_광고'!$J$2:$J$500,"상시")/SUMIFS('데이터_광고'!$E$2:$E$500,'데이터_광고'!$A$2:$A$500,$A$25,'데이터_광고'!$B$2:$B$500,$A65,'데이터_광고'!$J$2:$J$500,"상시"))</f>
        <v/>
      </c>
      <c r="I65" s="16">
        <f>IF(SUMIFS('데이터_광고'!$E$2:$E$500,'데이터_광고'!$A$2:$A$500,$A$25,'데이터_광고'!$B$2:$B$500,$A65,'데이터_광고'!$J$2:$J$500,"행사")=0,0,SUMIFS('데이터_광고'!$I$2:$I$500,'데이터_광고'!$A$2:$A$500,$A$25,'데이터_광고'!$B$2:$B$500,$A65,'데이터_광고'!$J$2:$J$500,"행사")/SUMIFS('데이터_광고'!$E$2:$E$500,'데이터_광고'!$A$2:$A$500,$A$25,'데이터_광고'!$B$2:$B$500,$A65,'데이터_광고'!$J$2:$J$500,"행사"))</f>
        <v/>
      </c>
    </row>
    <row r="66">
      <c r="A66" s="15" t="inlineStr">
        <is>
          <t>메타 자사몰</t>
        </is>
      </c>
      <c r="B66" s="23">
        <f>IF(SUMIFS('데이터_광고'!$E$2:$E$500,'데이터_광고'!$A$2:$A$500,$A$25,'데이터_광고'!$B$2:$B$500,$A66,'데이터_광고'!$D$2:$D$500,B$59)=0,0,SUMIFS('데이터_광고'!$I$2:$I$500,'데이터_광고'!$A$2:$A$500,$A$25,'데이터_광고'!$B$2:$B$500,$A66,'데이터_광고'!$D$2:$D$500,B$59)/SUMIFS('데이터_광고'!$E$2:$E$500,'데이터_광고'!$A$2:$A$500,$A$25,'데이터_광고'!$B$2:$B$500,$A66,'데이터_광고'!$D$2:$D$500,B$59))</f>
        <v/>
      </c>
      <c r="C66" s="23">
        <f>IF(SUMIFS('데이터_광고'!$E$2:$E$500,'데이터_광고'!$A$2:$A$500,$A$25,'데이터_광고'!$B$2:$B$500,$A66,'데이터_광고'!$D$2:$D$500,C$59)=0,0,SUMIFS('데이터_광고'!$I$2:$I$500,'데이터_광고'!$A$2:$A$500,$A$25,'데이터_광고'!$B$2:$B$500,$A66,'데이터_광고'!$D$2:$D$500,C$59)/SUMIFS('데이터_광고'!$E$2:$E$500,'데이터_광고'!$A$2:$A$500,$A$25,'데이터_광고'!$B$2:$B$500,$A66,'데이터_광고'!$D$2:$D$500,C$59))</f>
        <v/>
      </c>
      <c r="D66" s="23">
        <f>IF(SUMIFS('데이터_광고'!$E$2:$E$500,'데이터_광고'!$A$2:$A$500,$A$25,'데이터_광고'!$B$2:$B$500,$A66,'데이터_광고'!$D$2:$D$500,D$59)=0,0,SUMIFS('데이터_광고'!$I$2:$I$500,'데이터_광고'!$A$2:$A$500,$A$25,'데이터_광고'!$B$2:$B$500,$A66,'데이터_광고'!$D$2:$D$500,D$59)/SUMIFS('데이터_광고'!$E$2:$E$500,'데이터_광고'!$A$2:$A$500,$A$25,'데이터_광고'!$B$2:$B$500,$A66,'데이터_광고'!$D$2:$D$500,D$59))</f>
        <v/>
      </c>
      <c r="E66" s="23">
        <f>IF(SUMIFS('데이터_광고'!$E$2:$E$500,'데이터_광고'!$A$2:$A$500,$A$25,'데이터_광고'!$B$2:$B$500,$A66,'데이터_광고'!$D$2:$D$500,E$59)=0,0,SUMIFS('데이터_광고'!$I$2:$I$500,'데이터_광고'!$A$2:$A$500,$A$25,'데이터_광고'!$B$2:$B$500,$A66,'데이터_광고'!$D$2:$D$500,E$59)/SUMIFS('데이터_광고'!$E$2:$E$500,'데이터_광고'!$A$2:$A$500,$A$25,'데이터_광고'!$B$2:$B$500,$A66,'데이터_광고'!$D$2:$D$500,E$59))</f>
        <v/>
      </c>
      <c r="F66" s="23">
        <f>IF(SUMIFS('데이터_광고'!$E$2:$E$500,'데이터_광고'!$A$2:$A$500,$A$25,'데이터_광고'!$B$2:$B$500,$A66,'데이터_광고'!$D$2:$D$500,F$59)=0,0,SUMIFS('데이터_광고'!$I$2:$I$500,'데이터_광고'!$A$2:$A$500,$A$25,'데이터_광고'!$B$2:$B$500,$A66,'데이터_광고'!$D$2:$D$500,F$59)/SUMIFS('데이터_광고'!$E$2:$E$500,'데이터_광고'!$A$2:$A$500,$A$25,'데이터_광고'!$B$2:$B$500,$A66,'데이터_광고'!$D$2:$D$500,F$59))</f>
        <v/>
      </c>
      <c r="G66" s="16">
        <f>IF(SUMIFS('데이터_광고'!$E$2:$E$500,'데이터_광고'!$A$2:$A$500,$A$25,'데이터_광고'!$B$2:$B$500,$A66)=0,0,SUMIFS('데이터_광고'!$I$2:$I$500,'데이터_광고'!$A$2:$A$500,$A$25,'데이터_광고'!$B$2:$B$500,$A66)/SUMIFS('데이터_광고'!$E$2:$E$500,'데이터_광고'!$A$2:$A$500,$A$25,'데이터_광고'!$B$2:$B$500,$A66))</f>
        <v/>
      </c>
      <c r="H66" s="16">
        <f>IF(SUMIFS('데이터_광고'!$E$2:$E$500,'데이터_광고'!$A$2:$A$500,$A$25,'데이터_광고'!$B$2:$B$500,$A66,'데이터_광고'!$J$2:$J$500,"상시")=0,0,SUMIFS('데이터_광고'!$I$2:$I$500,'데이터_광고'!$A$2:$A$500,$A$25,'데이터_광고'!$B$2:$B$500,$A66,'데이터_광고'!$J$2:$J$500,"상시")/SUMIFS('데이터_광고'!$E$2:$E$500,'데이터_광고'!$A$2:$A$500,$A$25,'데이터_광고'!$B$2:$B$500,$A66,'데이터_광고'!$J$2:$J$500,"상시"))</f>
        <v/>
      </c>
      <c r="I66" s="16">
        <f>IF(SUMIFS('데이터_광고'!$E$2:$E$500,'데이터_광고'!$A$2:$A$500,$A$25,'데이터_광고'!$B$2:$B$500,$A66,'데이터_광고'!$J$2:$J$500,"행사")=0,0,SUMIFS('데이터_광고'!$I$2:$I$500,'데이터_광고'!$A$2:$A$500,$A$25,'데이터_광고'!$B$2:$B$500,$A66,'데이터_광고'!$J$2:$J$500,"행사")/SUMIFS('데이터_광고'!$E$2:$E$500,'데이터_광고'!$A$2:$A$500,$A$25,'데이터_광고'!$B$2:$B$500,$A66,'데이터_광고'!$J$2:$J$500,"행사"))</f>
        <v/>
      </c>
    </row>
    <row r="68">
      <c r="A68" s="21" t="inlineStr">
        <is>
          <t>광고비가 0이면 "-"로 표시합니다. 브랜드검색은 정액 대비 매출이며, GFA 전환 로지오가닉은 10/26 이후만 집행했습니다.</t>
        </is>
      </c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4" customWidth="1" min="4" max="4"/>
    <col width="13" customWidth="1" min="5" max="5"/>
    <col width="13" customWidth="1" min="6" max="6"/>
    <col width="58" customWidth="1" min="7" max="7"/>
    <col width="52" customWidth="1" min="8" max="8"/>
  </cols>
  <sheetData>
    <row r="1">
      <c r="A1" s="1" t="inlineStr">
        <is>
          <t>성과 분석: 잘한 점·이유, 미달·보완</t>
        </is>
      </c>
    </row>
    <row r="2" ht="28" customHeight="1">
      <c r="A2" s="2" t="inlineStr">
        <is>
          <t>값 열은 다른 시트의 수식입니다. "원인"은 주간 리포트와 사용자 설명에서 확인된 운영 이력에 근거하며, 데이터만으로 단정하기 어려운 항목은 "추정"으로 표시했습니다.</t>
        </is>
      </c>
    </row>
    <row r="4" ht="26" customHeight="1">
      <c r="A4" s="5" t="inlineStr">
        <is>
          <t>구분</t>
        </is>
      </c>
      <c r="B4" s="5" t="inlineStr">
        <is>
          <t>브랜드</t>
        </is>
      </c>
      <c r="C4" s="5" t="inlineStr">
        <is>
          <t>항목</t>
        </is>
      </c>
      <c r="D4" s="5" t="inlineStr">
        <is>
          <t>근거 지표</t>
        </is>
      </c>
      <c r="E4" s="5" t="inlineStr">
        <is>
          <t>값</t>
        </is>
      </c>
      <c r="F4" s="5" t="inlineStr">
        <is>
          <t>비교 기준</t>
        </is>
      </c>
      <c r="G4" s="5" t="inlineStr">
        <is>
          <t>성과 이유 / 원인</t>
        </is>
      </c>
      <c r="H4" s="5" t="inlineStr">
        <is>
          <t>보완 방향</t>
        </is>
      </c>
    </row>
    <row r="5" ht="58" customHeight="1">
      <c r="A5" s="51" t="inlineStr">
        <is>
          <t>잘한 점</t>
        </is>
      </c>
      <c r="B5" s="19" t="inlineStr">
        <is>
          <t>아넬라</t>
        </is>
      </c>
      <c r="C5" s="52" t="inlineStr">
        <is>
          <t>파워링크 노출 시간 제한 (10/14~)</t>
        </is>
      </c>
      <c r="D5" s="39" t="inlineStr">
        <is>
          <t>ROAS 제한 후 (비교: 제한 전, 두 기간 모두 상시 구간)</t>
        </is>
      </c>
      <c r="E5" s="53">
        <f>'시간제한_검증'!C13</f>
        <v/>
      </c>
      <c r="F5" s="54">
        <f>'시간제한_검증'!B13</f>
        <v/>
      </c>
      <c r="G5" s="32" t="inlineStr">
        <is>
          <t>노출 제외 시간(0~3시, 17~24시) 설정 후 광고비·클릭이 약 58% 줄었는데 구매는 15건에서 14건으로 거의 유지되고 전환율이 6.1%에서 13.7%로 올랐습니다. 행사가 없는 두 주를 비교한 값이라 행사 영향이 없습니다.</t>
        </is>
      </c>
      <c r="H5" s="32" t="inlineStr">
        <is>
          <t>매출 볼륨(-22%)이 줄었으므로 추가 모니터링. 같은 기간에 10/21 저효율 키워드 감액이 섞여 있어 시간 제한만의 효과로 단정하지 않기.</t>
        </is>
      </c>
    </row>
    <row r="6" ht="58" customHeight="1">
      <c r="A6" s="51" t="inlineStr">
        <is>
          <t>잘한 점</t>
        </is>
      </c>
      <c r="B6" s="19" t="inlineStr">
        <is>
          <t>아넬라</t>
        </is>
      </c>
      <c r="C6" s="52" t="inlineStr">
        <is>
          <t>저효율 키워드·지면 정리로 예산 효율화</t>
        </is>
      </c>
      <c r="D6" s="39" t="inlineStr">
        <is>
          <t>28일 ROAS (비교: KPI 하한)</t>
        </is>
      </c>
      <c r="E6" s="53">
        <f>'10월_실적'!G31</f>
        <v/>
      </c>
      <c r="F6" s="54">
        <f>'10월_실적'!C31</f>
        <v/>
      </c>
      <c r="G6" s="32" t="inlineStr">
        <is>
          <t>저효율 키워드·지면 OFF/감액과 노출 시간 제한으로 일할 예산의 약 84%만 집행하고도 ROAS가 하한에 근접했습니다. 이 ROAS에는 행사 구간 영향이 포함돼 있어 마케팅 성과는 상시 구간 지표(미달·보완 항목)로 따로 봅니다.</t>
        </is>
      </c>
      <c r="H6" s="32" t="inlineStr">
        <is>
          <t>정리 효과는 11/8 넾다세일 종료 후 상시 구간 데이터로 검증.</t>
        </is>
      </c>
    </row>
    <row r="7" ht="58" customHeight="1">
      <c r="A7" s="51" t="inlineStr">
        <is>
          <t>잘한 점</t>
        </is>
      </c>
      <c r="B7" s="19" t="inlineStr">
        <is>
          <t>아넬라</t>
        </is>
      </c>
      <c r="C7" s="52" t="inlineStr">
        <is>
          <t>상시 구간에서 쇼핑검색이 핵심 매체</t>
        </is>
      </c>
      <c r="D7" s="39" t="inlineStr">
        <is>
          <t>쇼핑검색 상시 구간 ROAS (비교: 파워링크 상시)</t>
        </is>
      </c>
      <c r="E7" s="53">
        <f>'주차별_추이'!H49</f>
        <v/>
      </c>
      <c r="F7" s="54">
        <f>'주차별_추이'!H48</f>
        <v/>
      </c>
      <c r="G7" s="32" t="inlineStr">
        <is>
          <t>행사가 없는 구간에서도 쇼핑검색이 광고비 비중이 가장 큰 매체(약 32%)이면서 파워링크보다 효율이 높습니다. 퓨레 캠페인이 매출을 이끌었습니다.</t>
        </is>
      </c>
      <c r="H7" s="32" t="inlineStr">
        <is>
          <t>쇼핑검색은 10/26부터 24시간 균등 노출로 원복했으므로 11/8 이후 상시 구간에서 제한 구간(10/14~25)과 비교해 효과를 판단.</t>
        </is>
      </c>
    </row>
    <row r="8" ht="58" customHeight="1">
      <c r="A8" s="51" t="inlineStr">
        <is>
          <t>잘한 점</t>
        </is>
      </c>
      <c r="B8" s="19" t="inlineStr">
        <is>
          <t>아넬라</t>
        </is>
      </c>
      <c r="C8" s="52" t="inlineStr">
        <is>
          <t>메타 시크릿링크가 자사몰 매출의 주축</t>
        </is>
      </c>
      <c r="D8" s="39" t="inlineStr">
        <is>
          <t>시크릿특가 상품 매출 비중 (비교: 시크릿특가 실매출 ROAS)</t>
        </is>
      </c>
      <c r="E8" s="53">
        <f>'자사몰_매출'!H7</f>
        <v/>
      </c>
      <c r="F8" s="54">
        <f>'자사몰_매출'!G15</f>
        <v/>
      </c>
      <c r="G8" s="32" t="inlineStr">
        <is>
          <t>자사몰 상품명에 "시크릿 특가"가 붙은 상품이 메타 시크릿링크 광고 유입입니다. 이 상품이 자사몰 매출의 대부분을 차지하고, 시크릿링크 광고가 자사몰 매출을 만드는 핵심 경로입니다.</t>
        </is>
      </c>
      <c r="H8" s="32" t="inlineStr">
        <is>
          <t>시크릿링크 광고 보고 매출이 실제 시크릿특가 매출보다 큽니다(자사몰_매출 시트). 실매출 기준 ROAS로 판단.</t>
        </is>
      </c>
    </row>
    <row r="9" ht="58" customHeight="1">
      <c r="A9" s="51" t="inlineStr">
        <is>
          <t>잘한 점</t>
        </is>
      </c>
      <c r="B9" s="19" t="inlineStr">
        <is>
          <t>로지오가닉</t>
        </is>
      </c>
      <c r="C9" s="52" t="inlineStr">
        <is>
          <t>메타 시크릿링크가 자사몰 매출의 주축</t>
        </is>
      </c>
      <c r="D9" s="39" t="inlineStr">
        <is>
          <t>시크릿특가 상품 매출 비중 (비교: 시크릿특가 실매출 ROAS)</t>
        </is>
      </c>
      <c r="E9" s="53">
        <f>'자사몰_매출'!H8</f>
        <v/>
      </c>
      <c r="F9" s="54">
        <f>'자사몰_매출'!G16</f>
        <v/>
      </c>
      <c r="G9" s="32" t="inlineStr">
        <is>
          <t>로지 자사몰도 "시크릿 특가" 상품(쌀과자 퍼프 스틱 떡뻥 요거팝)이 매출 1위입니다. 첫구매 전용 상품도 별도 비중이 있습니다(자사몰_매출 시트).</t>
        </is>
      </c>
      <c r="H9" s="32" t="inlineStr">
        <is>
          <t>실매출 ROAS가 KPI 하한(420%)을 넘는지 계속 확인. 개편 썸네일 소재와 병행 테스트.</t>
        </is>
      </c>
    </row>
    <row r="10" ht="58" customHeight="1">
      <c r="A10" s="51" t="inlineStr">
        <is>
          <t>잘한 점</t>
        </is>
      </c>
      <c r="B10" s="19" t="inlineStr">
        <is>
          <t>로지오가닉</t>
        </is>
      </c>
      <c r="C10" s="52" t="inlineStr">
        <is>
          <t>KPI 하한 상회 (행사 영향이 작은 브랜드)</t>
        </is>
      </c>
      <c r="D10" s="39" t="inlineStr">
        <is>
          <t>28일 ROAS (비교: KPI 하한)</t>
        </is>
      </c>
      <c r="E10" s="53">
        <f>'10월_실적'!G32</f>
        <v/>
      </c>
      <c r="F10" s="54">
        <f>'10월_실적'!C32</f>
        <v/>
      </c>
      <c r="G10" s="32" t="inlineStr">
        <is>
          <t>로지는 행사 구간과 상시 구간 ROAS 차이가 작아(주차별_추이 시트: 상시 약 566%, 행사 약 687%) 행사에 덜 의존합니다. 메타 스스(과자 상시)와 메타 자사몰(과자 시크릿링크)이 광고비의 절반 이상을 차지하며 평균을 끌어올렸습니다.</t>
        </is>
      </c>
      <c r="H10" s="32" t="inlineStr">
        <is>
          <t>메타 스스 이상치 이틀 제외 시에도 하한을 넘는지 오른쪽 항목 참고.</t>
        </is>
      </c>
    </row>
    <row r="11" ht="58" customHeight="1">
      <c r="A11" s="51" t="inlineStr">
        <is>
          <t>잘한 점</t>
        </is>
      </c>
      <c r="B11" s="19" t="inlineStr">
        <is>
          <t>로지오가닉</t>
        </is>
      </c>
      <c r="C11" s="52" t="inlineStr">
        <is>
          <t>이상치 제외 후에도 하한 상회</t>
        </is>
      </c>
      <c r="D11" s="39" t="inlineStr">
        <is>
          <t>보정 ROAS (비교: KPI 하한)</t>
        </is>
      </c>
      <c r="E11" s="53">
        <f>'10월_실적'!D46</f>
        <v/>
      </c>
      <c r="F11" s="54">
        <f>'10월_실적'!C32</f>
        <v/>
      </c>
      <c r="G11" s="32" t="inlineStr">
        <is>
          <t>메타 스스 10/24~25를 제외해도 하한을 넘습니다. 즉 성과 달성 판단은 이상치와 무관하게 유지됩니다.</t>
        </is>
      </c>
      <c r="H11" s="32" t="inlineStr">
        <is>
          <t>이상치 원인 확인 후 확정 수치로 교체.</t>
        </is>
      </c>
    </row>
    <row r="12" ht="58" customHeight="1">
      <c r="A12" s="51" t="inlineStr">
        <is>
          <t>잘한 점</t>
        </is>
      </c>
      <c r="B12" s="19" t="inlineStr">
        <is>
          <t>로지오가닉</t>
        </is>
      </c>
      <c r="C12" s="52" t="inlineStr">
        <is>
          <t>메타 자사몰 과자 시크릿링크의 안정성</t>
        </is>
      </c>
      <c r="D12" s="39" t="inlineStr">
        <is>
          <t>28일 ROAS (비교: KPI 하한)</t>
        </is>
      </c>
      <c r="E12" s="53">
        <f>'10월_실적'!M24</f>
        <v/>
      </c>
      <c r="F12" s="54">
        <f>'10월_실적'!C32</f>
        <v/>
      </c>
      <c r="G12" s="32" t="inlineStr">
        <is>
          <t>10/1~4부터 10/26~28까지 5개 구간 모두 430~750% 범위 유지(주차별 ROAS는 주차별_추이 시트). 시크릿링크 구성이 일관되게 구매를 만들었습니다.</t>
        </is>
      </c>
      <c r="H12" s="32" t="inlineStr">
        <is>
          <t>개편된 시크릿링크 썸네일로 소재를 교체할 때 기존 소재와 병행 테스트.</t>
        </is>
      </c>
    </row>
    <row r="13" ht="58" customHeight="1">
      <c r="A13" s="55" t="inlineStr">
        <is>
          <t>미달·보완</t>
        </is>
      </c>
      <c r="B13" s="19" t="inlineStr">
        <is>
          <t>아넬라</t>
        </is>
      </c>
      <c r="C13" s="52" t="inlineStr">
        <is>
          <t>KPI ROAS 하한 소폭 미달</t>
        </is>
      </c>
      <c r="D13" s="39" t="inlineStr">
        <is>
          <t>28일 ROAS 달성률</t>
        </is>
      </c>
      <c r="E13" s="53">
        <f>'10월_실적'!H31</f>
        <v/>
      </c>
      <c r="F13" s="54" t="n">
        <v>1</v>
      </c>
      <c r="G13" s="32" t="inlineStr">
        <is>
          <t>상시 구간 ROAS가 행사 구간의 약 1/3 수준이라, 행사가 없는 주에는 하한을 크게 밑돕니다(주차별_추이 시트).</t>
        </is>
      </c>
      <c r="H13" s="32" t="inlineStr">
        <is>
          <t>상시 구간 효율 개선: 저효율 지면·키워드 정리 유지, 소재 교체(차주 2종), 행사 일정 확대 협의.</t>
        </is>
      </c>
    </row>
    <row r="14" ht="58" customHeight="1">
      <c r="A14" s="55" t="inlineStr">
        <is>
          <t>미달·보완</t>
        </is>
      </c>
      <c r="B14" s="19" t="inlineStr">
        <is>
          <t>아넬라</t>
        </is>
      </c>
      <c r="C14" s="52" t="inlineStr">
        <is>
          <t>상시 구간 ROAS</t>
        </is>
      </c>
      <c r="D14" s="39" t="inlineStr">
        <is>
          <t>상시 구간 ROAS (비교: KPI 하한)</t>
        </is>
      </c>
      <c r="E14" s="53">
        <f>'주차별_추이'!H11</f>
        <v/>
      </c>
      <c r="F14" s="54">
        <f>'10월_실적'!C31</f>
        <v/>
      </c>
      <c r="G14" s="32" t="inlineStr">
        <is>
          <t>10/1~4, 10/5~11, 10/19~25의 합산 ROAS. 4주차(10/19~25)는 전 매체 ROAS가 전주 대비 하락했고 전환율이 16.8%에서 7.0%로 내려갔습니다(주간 리포트).</t>
        </is>
      </c>
      <c r="H14" s="32" t="inlineStr">
        <is>
          <t>쇼핑검색은 24시간 균등노출로 원복 완료(10/26~). 파워링크는 시간 제한 유지, 무전환 지면 제외 후 효율 확인.</t>
        </is>
      </c>
    </row>
    <row r="15" ht="58" customHeight="1">
      <c r="A15" s="55" t="inlineStr">
        <is>
          <t>미달·보완</t>
        </is>
      </c>
      <c r="B15" s="19" t="inlineStr">
        <is>
          <t>아넬라</t>
        </is>
      </c>
      <c r="C15" s="52" t="inlineStr">
        <is>
          <t>예산 소진 부족</t>
        </is>
      </c>
      <c r="D15" s="39" t="inlineStr">
        <is>
          <t>일할 예산 대비 소진율 (10월 28일)</t>
        </is>
      </c>
      <c r="E15" s="53">
        <f>'10월_실적'!E13</f>
        <v/>
      </c>
      <c r="F15" s="54" t="n">
        <v>1</v>
      </c>
      <c r="G15" s="32" t="inlineStr">
        <is>
          <t>저효율 키워드·지면 OFF/감액, 웰컴박스·기획전 보류로 의도적으로 줄인 영향이 큽니다. GFA는 10/26부터 상시 소재 노출이 거의 없고 넾다세일 소재 중심으로 운영된 것으로 보입니다(추정).</t>
        </is>
      </c>
      <c r="H15" s="32" t="inlineStr">
        <is>
          <t>남은 예산을 행사 구간 소재에 집중할지, 효율 우선으로 줄일지 11월 계획에서 결정.</t>
        </is>
      </c>
    </row>
    <row r="16" ht="58" customHeight="1">
      <c r="A16" s="55" t="inlineStr">
        <is>
          <t>미달·보완</t>
        </is>
      </c>
      <c r="B16" s="19" t="inlineStr">
        <is>
          <t>아넬라</t>
        </is>
      </c>
      <c r="C16" s="52" t="inlineStr">
        <is>
          <t>메타 자사몰 효율 하락</t>
        </is>
      </c>
      <c r="D16" s="39" t="inlineStr">
        <is>
          <t>10월 28일 ROAS (비교: 아넬라 메타 자사몰 P5 ROAS)</t>
        </is>
      </c>
      <c r="E16" s="53">
        <f>'10월_실적'!M12</f>
        <v/>
      </c>
      <c r="F16" s="54">
        <f>'주차별_추이'!F54</f>
        <v/>
      </c>
      <c r="G16" s="32" t="inlineStr">
        <is>
          <t>웰컴박스는 신청하기 목적 캠페인이라 구매 ROAS가 거의 나오지 않았고(광고비 약 20만원, 구매 2건), 시크릿링크도 구간이 지날수록 ROAS가 내려왔습니다. 광고 보고 ROAS와 자사몰 실매출 기준 ROAS의 차이는 자사몰_매출 시트 참고.</t>
        </is>
      </c>
      <c r="H16" s="32" t="inlineStr">
        <is>
          <t>웰컴박스는 보류 유지. 시크릿링크 개편 썸네일 소재로 교체 후 재측정.</t>
        </is>
      </c>
    </row>
    <row r="17" ht="58" customHeight="1">
      <c r="A17" s="55" t="inlineStr">
        <is>
          <t>미달·보완</t>
        </is>
      </c>
      <c r="B17" s="19" t="inlineStr">
        <is>
          <t>아넬라</t>
        </is>
      </c>
      <c r="C17" s="52" t="inlineStr">
        <is>
          <t>메타 카탈로그(스스)</t>
        </is>
      </c>
      <c r="D17" s="39" t="inlineStr">
        <is>
          <t>캠페인 ROAS</t>
        </is>
      </c>
      <c r="E17" s="53">
        <f>SUMIFS('데이터_광고'!$I$2:$I$500,'데이터_광고'!$C$2:$C$500,"SUS_아넬라_카탈로그 판매 캠페인_260629")/SUMIFS('데이터_광고'!$E$2:$E$500,'데이터_광고'!$C$2:$C$500,"SUS_아넬라_카탈로그 판매 캠페인_260629")</f>
        <v/>
      </c>
      <c r="F17" s="54" t="n">
        <v>2</v>
      </c>
      <c r="G17" s="32" t="inlineStr">
        <is>
          <t>월 ROAS는 낮지 않으나 4주차에는 189%까지 떨어졌습니다(주간 리포트). 비교 기준 200%는 주간 리포트의 개선 기준입니다.</t>
        </is>
      </c>
      <c r="H17" s="32" t="inlineStr">
        <is>
          <t>카탈로그 상품 세트·소재를 영업팀 주력 상품 중심으로 재구성.</t>
        </is>
      </c>
    </row>
    <row r="18" ht="58" customHeight="1">
      <c r="A18" s="55" t="inlineStr">
        <is>
          <t>미달·보완</t>
        </is>
      </c>
      <c r="B18" s="19" t="inlineStr">
        <is>
          <t>아넬라</t>
        </is>
      </c>
      <c r="C18" s="52" t="inlineStr">
        <is>
          <t>쇼핑검색 과자(떡뻥) 캠페인</t>
        </is>
      </c>
      <c r="D18" s="39" t="inlineStr">
        <is>
          <t>캠페인 ROAS (비교: KPI 하한)</t>
        </is>
      </c>
      <c r="E18" s="53">
        <f>SUMIFS('데이터_광고'!$I$2:$I$500,'데이터_광고'!$C$2:$C$500,"SSA_아넬라_과자(떡뻥) 캠페인")/SUMIFS('데이터_광고'!$E$2:$E$500,'데이터_광고'!$C$2:$C$500,"SSA_아넬라_과자(떡뻥) 캠페인")</f>
        <v/>
      </c>
      <c r="F18" s="54">
        <f>'10월_실적'!C31</f>
        <v/>
      </c>
      <c r="G18" s="32" t="inlineStr">
        <is>
          <t>9월 월간 리포트에서도 과자(떡뻥)_일반K 효율이 낮았습니다(ROAS 201%). 대표 단어 경쟁이 강해 증액해도 효율이 희석됩니다.</t>
        </is>
      </c>
      <c r="H18" s="32" t="inlineStr">
        <is>
          <t>롱테일 검색어(퍼프·롱떡뻥) 중심으로 소액 운영, 저효율 검색어 제외.</t>
        </is>
      </c>
    </row>
    <row r="19" ht="58" customHeight="1">
      <c r="A19" s="55" t="inlineStr">
        <is>
          <t>미달·보완</t>
        </is>
      </c>
      <c r="B19" s="19" t="inlineStr">
        <is>
          <t>아넬라</t>
        </is>
      </c>
      <c r="C19" s="52" t="inlineStr">
        <is>
          <t>GFA 신규 소구 5종 테스트</t>
        </is>
      </c>
      <c r="D19" s="39" t="inlineStr">
        <is>
          <t>집행 구간 ROAS (10/14~16)</t>
        </is>
      </c>
      <c r="E19" s="53">
        <f>SUMIFS('데이터_광고'!$I$2:$I$500,'데이터_광고'!$C$2:$C$500,"아넬라_신규타겟_소구5종")/SUMIFS('데이터_광고'!$E$2:$E$500,'데이터_광고'!$C$2:$C$500,"아넬라_신규타겟_소구5종")</f>
        <v/>
      </c>
      <c r="F19" s="54" t="n">
        <v>1</v>
      </c>
      <c r="G19" s="32" t="inlineStr">
        <is>
          <t>3일 집행에서 구매 1건으로 효율이 나오지 않았고, 소재 검토를 위해 HOLD 중입니다.</t>
        </is>
      </c>
      <c r="H19" s="32" t="inlineStr">
        <is>
          <t>소재 검토 후 재개. 재개 전 소구점·타겟 가설을 팀과 합의.</t>
        </is>
      </c>
    </row>
    <row r="20" ht="58" customHeight="1">
      <c r="A20" s="55" t="inlineStr">
        <is>
          <t>미달·보완</t>
        </is>
      </c>
      <c r="B20" s="19" t="inlineStr">
        <is>
          <t>로지오가닉</t>
        </is>
      </c>
      <c r="C20" s="52" t="inlineStr">
        <is>
          <t>파워링크·쇼핑검색 효율</t>
        </is>
      </c>
      <c r="D20" s="39" t="inlineStr">
        <is>
          <t>파워링크+쇼핑검색 합산 ROAS (브랜드검색 제외, 비교: KPI 하한)</t>
        </is>
      </c>
      <c r="E20" s="53">
        <f>(SUMIFS('데이터_광고'!$I$2:$I$500,'데이터_광고'!$A$2:$A$500,"로지오가닉",'데이터_광고'!$B$2:$B$500,"파워링크")+SUMIFS('데이터_광고'!$I$2:$I$500,'데이터_광고'!$A$2:$A$500,"로지오가닉",'데이터_광고'!$B$2:$B$500,"쇼핑검색"))/(SUMIFS('데이터_광고'!$E$2:$E$500,'데이터_광고'!$A$2:$A$500,"로지오가닉",'데이터_광고'!$B$2:$B$500,"파워링크")+SUMIFS('데이터_광고'!$E$2:$E$500,'데이터_광고'!$A$2:$A$500,"로지오가닉",'데이터_광고'!$B$2:$B$500,"쇼핑검색"))</f>
        <v/>
      </c>
      <c r="F20" s="54">
        <f>'10월_실적'!C32</f>
        <v/>
      </c>
      <c r="G20" s="32" t="inlineStr">
        <is>
          <t>파워링크 대표K·구매K 그룹의 구매 전환이 줄어든 영향이 큽니다(4주차 주간 리포트). 브랜드검색을 포함하면 검색 전체 ROAS는 올라갑니다.</t>
        </is>
      </c>
      <c r="H20" s="32" t="inlineStr">
        <is>
          <t>10/21 파워링크 저효율 키워드 감액 효과를 11/8 이후 상시 구간으로 검증. 쇼핑검색 무전환 지면 제외(10/26) 효과 확인.</t>
        </is>
      </c>
    </row>
    <row r="21" ht="58" customHeight="1">
      <c r="A21" s="55" t="inlineStr">
        <is>
          <t>미달·보완</t>
        </is>
      </c>
      <c r="B21" s="19" t="inlineStr">
        <is>
          <t>로지오가닉</t>
        </is>
      </c>
      <c r="C21" s="52" t="inlineStr">
        <is>
          <t>GFA 웹전환(넾다세일 한정)</t>
        </is>
      </c>
      <c r="D21" s="39" t="inlineStr">
        <is>
          <t>28일 ROAS (10/26~28 집행)</t>
        </is>
      </c>
      <c r="E21" s="53">
        <f>'10월_실적'!M22</f>
        <v/>
      </c>
      <c r="F21" s="54" t="n">
        <v>1</v>
      </c>
      <c r="G21" s="32" t="inlineStr">
        <is>
          <t>3일 집행, 구매 6건으로 표본이 작지만 현재는 광고비를 회수하지 못했습니다.</t>
        </is>
      </c>
      <c r="H21" s="32" t="inlineStr">
        <is>
          <t>넾다세일 종료(11/8)까지 모니터링 후 지속 여부를 판단하고, 효율이 나오지 않으면 20만원을 메타로 이동.</t>
        </is>
      </c>
    </row>
    <row r="22" ht="58" customHeight="1">
      <c r="A22" s="56" t="inlineStr">
        <is>
          <t>데이터 점검</t>
        </is>
      </c>
      <c r="B22" s="19" t="inlineStr">
        <is>
          <t>로지오가닉</t>
        </is>
      </c>
      <c r="C22" s="52" t="inlineStr">
        <is>
          <t>메타 스스 10/24~25 이상치</t>
        </is>
      </c>
      <c r="D22" s="39" t="inlineStr">
        <is>
          <t>이틀 메타 전환값 ÷ 스토어 결제금액 (배)</t>
        </is>
      </c>
      <c r="E22" s="57">
        <f>'점검'!D15</f>
        <v/>
      </c>
      <c r="F22" s="58" t="n">
        <v>1</v>
      </c>
      <c r="G22" s="32" t="inlineStr">
        <is>
          <t>같은 이틀의 로지 스토어 전체 결제(공구 포함)보다 메타 전환값이 큽니다. 실주문이 아닌 집계 이슈 가능성.</t>
        </is>
      </c>
      <c r="H22" s="32" t="inlineStr">
        <is>
          <t>메타·네이버 협력광고 담당에 확인. 확인 전까지 목표 산정에서는 제외(점검 시트).</t>
        </is>
      </c>
    </row>
    <row r="23" ht="58" customHeight="1">
      <c r="A23" s="56" t="inlineStr">
        <is>
          <t>데이터 점검</t>
        </is>
      </c>
      <c r="B23" s="19" t="inlineStr">
        <is>
          <t>로지오가닉</t>
        </is>
      </c>
      <c r="C23" s="52" t="inlineStr">
        <is>
          <t>공동구매 의존도</t>
        </is>
      </c>
      <c r="D23" s="39" t="inlineStr">
        <is>
          <t>스토어 결제 총액 중 공동구매 비중</t>
        </is>
      </c>
      <c r="E23" s="53">
        <f>'점검'!F22</f>
        <v/>
      </c>
      <c r="F23" s="54" t="n">
        <v>0</v>
      </c>
      <c r="G23" s="32" t="inlineStr">
        <is>
          <t>공동구매 상품(9차 등)을 제외하면 스토어 일반상품 매출은 절반 수준입니다. 광고 귀속 매출은 일반상품 순매출에 가깝습니다.</t>
        </is>
      </c>
      <c r="H23" s="32" t="inlineStr">
        <is>
          <t>일반상품 기준으로 광고 효율을 판단하되, 공동구매 기간의 유입·전환이 광고 성과에 섞이는지 영업팀과 확인.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G3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2" customWidth="1" min="5" max="5"/>
    <col width="4" customWidth="1" min="6" max="6"/>
    <col width="60" customWidth="1" min="7" max="7"/>
  </cols>
  <sheetData>
    <row r="1">
      <c r="A1" s="1" t="inlineStr">
        <is>
          <t>아넬라 네이버 검색광고 노출 시간 제한(10/14) 효과 검증</t>
        </is>
      </c>
    </row>
    <row r="2">
      <c r="A2" s="21" t="inlineStr">
        <is>
          <t>파워링크·쇼핑검색을 시간대를 지정해 노출한 결과입니다(노출 제외 0~3시, 17~24시, 두 매체 동일, 10/14 시작). 쇼핑검색은 10/26 넾다세일부터 24시간 균등 노출로 원복했습니다. 수치는 데이터_광고 시트의 SUMIFS 수식이며 대행사 보고 수치와 일치합니다.</t>
        </is>
      </c>
    </row>
    <row r="3">
      <c r="A3" s="21">
        <f>"비교기간 "&amp;TEXT('가정'!B51,"m/d")&amp;"~"&amp;TEXT('가정'!C51,"m/d")&amp;" (10월 2주차, 제한 전) vs 기준기간 "&amp;TEXT('가정'!B53,"m/d")&amp;"~"&amp;TEXT('가정'!C53,"m/d")&amp;" (10월 4주차, 제한 후). 두 기간 모두 상시 구간입니다."</f>
        <v/>
      </c>
    </row>
    <row r="5">
      <c r="A5" s="3" t="inlineStr">
        <is>
          <t>아넬라 파워링크</t>
        </is>
      </c>
    </row>
    <row r="6" ht="30" customHeight="1">
      <c r="A6" s="5" t="inlineStr">
        <is>
          <t>지표</t>
        </is>
      </c>
      <c r="B6" s="5" t="inlineStr">
        <is>
          <t>비교기간 (제한 전)</t>
        </is>
      </c>
      <c r="C6" s="5" t="inlineStr">
        <is>
          <t>기준기간 (제한 후)</t>
        </is>
      </c>
      <c r="D6" s="5" t="inlineStr">
        <is>
          <t>증감</t>
        </is>
      </c>
      <c r="E6" s="5" t="inlineStr">
        <is>
          <t>증감률</t>
        </is>
      </c>
    </row>
    <row r="7">
      <c r="A7" s="15" t="inlineStr">
        <is>
          <t>광고비(원)</t>
        </is>
      </c>
      <c r="B7" s="7">
        <f>SUMIFS('데이터_광고'!$E$2:$E$500,'데이터_광고'!$A$2:$A$500,"아넬라",'데이터_광고'!$B$2:$B$500,"파워링크",'데이터_광고'!$D$2:$D$500,'가정'!$A$51)</f>
        <v/>
      </c>
      <c r="C7" s="7">
        <f>SUMIFS('데이터_광고'!$E$2:$E$500,'데이터_광고'!$A$2:$A$500,"아넬라",'데이터_광고'!$B$2:$B$500,"파워링크",'데이터_광고'!$D$2:$D$500,'가정'!$A$53)</f>
        <v/>
      </c>
      <c r="D7" s="7">
        <f>C7-B7</f>
        <v/>
      </c>
      <c r="E7" s="31">
        <f>IF(B7=0,0,C7/B7-1)</f>
        <v/>
      </c>
    </row>
    <row r="8">
      <c r="A8" s="15" t="inlineStr">
        <is>
          <t>클릭</t>
        </is>
      </c>
      <c r="B8" s="7">
        <f>SUMIFS('데이터_광고'!$G$2:$G$500,'데이터_광고'!$A$2:$A$500,"아넬라",'데이터_광고'!$B$2:$B$500,"파워링크",'데이터_광고'!$D$2:$D$500,'가정'!$A$51)</f>
        <v/>
      </c>
      <c r="C8" s="7">
        <f>SUMIFS('데이터_광고'!$G$2:$G$500,'데이터_광고'!$A$2:$A$500,"아넬라",'데이터_광고'!$B$2:$B$500,"파워링크",'데이터_광고'!$D$2:$D$500,'가정'!$A$53)</f>
        <v/>
      </c>
      <c r="D8" s="7">
        <f>C8-B8</f>
        <v/>
      </c>
      <c r="E8" s="31">
        <f>IF(B8=0,0,C8/B8-1)</f>
        <v/>
      </c>
    </row>
    <row r="9">
      <c r="A9" s="15" t="inlineStr">
        <is>
          <t>CPC(원)</t>
        </is>
      </c>
      <c r="B9" s="7">
        <f>IF(B8=0,0,B7/B8)</f>
        <v/>
      </c>
      <c r="C9" s="7">
        <f>IF(C8=0,0,C7/C8)</f>
        <v/>
      </c>
      <c r="D9" s="7">
        <f>C9-B9</f>
        <v/>
      </c>
      <c r="E9" s="31">
        <f>IF(B9=0,0,C9/B9-1)</f>
        <v/>
      </c>
    </row>
    <row r="10">
      <c r="A10" s="15" t="inlineStr">
        <is>
          <t>구매(건)</t>
        </is>
      </c>
      <c r="B10" s="7">
        <f>SUMIFS('데이터_광고'!$H$2:$H$500,'데이터_광고'!$A$2:$A$500,"아넬라",'데이터_광고'!$B$2:$B$500,"파워링크",'데이터_광고'!$D$2:$D$500,'가정'!$A$51)</f>
        <v/>
      </c>
      <c r="C10" s="7">
        <f>SUMIFS('데이터_광고'!$H$2:$H$500,'데이터_광고'!$A$2:$A$500,"아넬라",'데이터_광고'!$B$2:$B$500,"파워링크",'데이터_광고'!$D$2:$D$500,'가정'!$A$53)</f>
        <v/>
      </c>
      <c r="D10" s="7">
        <f>C10-B10</f>
        <v/>
      </c>
      <c r="E10" s="31">
        <f>IF(B10=0,0,C10/B10-1)</f>
        <v/>
      </c>
    </row>
    <row r="11">
      <c r="A11" s="15" t="inlineStr">
        <is>
          <t>전환율 (구매÷클릭)</t>
        </is>
      </c>
      <c r="B11" s="24">
        <f>IF(B8=0,0,B10/B8)</f>
        <v/>
      </c>
      <c r="C11" s="24">
        <f>IF(C8=0,0,C10/C8)</f>
        <v/>
      </c>
      <c r="D11" s="59">
        <f>(C11-B11)*100</f>
        <v/>
      </c>
      <c r="E11" s="15" t="inlineStr"/>
    </row>
    <row r="12">
      <c r="A12" s="15" t="inlineStr">
        <is>
          <t>매출(원)</t>
        </is>
      </c>
      <c r="B12" s="7">
        <f>SUMIFS('데이터_광고'!$I$2:$I$500,'데이터_광고'!$A$2:$A$500,"아넬라",'데이터_광고'!$B$2:$B$500,"파워링크",'데이터_광고'!$D$2:$D$500,'가정'!$A$51)</f>
        <v/>
      </c>
      <c r="C12" s="7">
        <f>SUMIFS('데이터_광고'!$I$2:$I$500,'데이터_광고'!$A$2:$A$500,"아넬라",'데이터_광고'!$B$2:$B$500,"파워링크",'데이터_광고'!$D$2:$D$500,'가정'!$A$53)</f>
        <v/>
      </c>
      <c r="D12" s="7">
        <f>C12-B12</f>
        <v/>
      </c>
      <c r="E12" s="31">
        <f>IF(B12=0,0,C12/B12-1)</f>
        <v/>
      </c>
    </row>
    <row r="13">
      <c r="A13" s="15" t="inlineStr">
        <is>
          <t>ROAS</t>
        </is>
      </c>
      <c r="B13" s="8">
        <f>IF(B7=0,0,B12/B7)</f>
        <v/>
      </c>
      <c r="C13" s="8">
        <f>IF(C7=0,0,C12/C7)</f>
        <v/>
      </c>
      <c r="D13" s="60">
        <f>(C13-B13)*100</f>
        <v/>
      </c>
      <c r="E13" s="15" t="inlineStr"/>
    </row>
    <row r="16">
      <c r="A16" s="3" t="inlineStr">
        <is>
          <t>아넬라 쇼핑검색</t>
        </is>
      </c>
    </row>
    <row r="17" ht="30" customHeight="1">
      <c r="A17" s="5" t="inlineStr">
        <is>
          <t>지표</t>
        </is>
      </c>
      <c r="B17" s="5" t="inlineStr">
        <is>
          <t>비교기간 (제한 전)</t>
        </is>
      </c>
      <c r="C17" s="5" t="inlineStr">
        <is>
          <t>기준기간 (제한 후)</t>
        </is>
      </c>
      <c r="D17" s="5" t="inlineStr">
        <is>
          <t>증감</t>
        </is>
      </c>
      <c r="E17" s="5" t="inlineStr">
        <is>
          <t>증감률</t>
        </is>
      </c>
    </row>
    <row r="18">
      <c r="A18" s="15" t="inlineStr">
        <is>
          <t>광고비(원)</t>
        </is>
      </c>
      <c r="B18" s="7">
        <f>SUMIFS('데이터_광고'!$E$2:$E$500,'데이터_광고'!$A$2:$A$500,"아넬라",'데이터_광고'!$B$2:$B$500,"쇼핑검색",'데이터_광고'!$D$2:$D$500,'가정'!$A$51)</f>
        <v/>
      </c>
      <c r="C18" s="7">
        <f>SUMIFS('데이터_광고'!$E$2:$E$500,'데이터_광고'!$A$2:$A$500,"아넬라",'데이터_광고'!$B$2:$B$500,"쇼핑검색",'데이터_광고'!$D$2:$D$500,'가정'!$A$53)</f>
        <v/>
      </c>
      <c r="D18" s="7">
        <f>C18-B18</f>
        <v/>
      </c>
      <c r="E18" s="31">
        <f>IF(B18=0,0,C18/B18-1)</f>
        <v/>
      </c>
    </row>
    <row r="19">
      <c r="A19" s="15" t="inlineStr">
        <is>
          <t>클릭</t>
        </is>
      </c>
      <c r="B19" s="7">
        <f>SUMIFS('데이터_광고'!$G$2:$G$500,'데이터_광고'!$A$2:$A$500,"아넬라",'데이터_광고'!$B$2:$B$500,"쇼핑검색",'데이터_광고'!$D$2:$D$500,'가정'!$A$51)</f>
        <v/>
      </c>
      <c r="C19" s="7">
        <f>SUMIFS('데이터_광고'!$G$2:$G$500,'데이터_광고'!$A$2:$A$500,"아넬라",'데이터_광고'!$B$2:$B$500,"쇼핑검색",'데이터_광고'!$D$2:$D$500,'가정'!$A$53)</f>
        <v/>
      </c>
      <c r="D19" s="7">
        <f>C19-B19</f>
        <v/>
      </c>
      <c r="E19" s="31">
        <f>IF(B19=0,0,C19/B19-1)</f>
        <v/>
      </c>
    </row>
    <row r="20">
      <c r="A20" s="15" t="inlineStr">
        <is>
          <t>CPC(원)</t>
        </is>
      </c>
      <c r="B20" s="7">
        <f>IF(B19=0,0,B18/B19)</f>
        <v/>
      </c>
      <c r="C20" s="7">
        <f>IF(C19=0,0,C18/C19)</f>
        <v/>
      </c>
      <c r="D20" s="7">
        <f>C20-B20</f>
        <v/>
      </c>
      <c r="E20" s="31">
        <f>IF(B20=0,0,C20/B20-1)</f>
        <v/>
      </c>
    </row>
    <row r="21">
      <c r="A21" s="15" t="inlineStr">
        <is>
          <t>구매(건)</t>
        </is>
      </c>
      <c r="B21" s="7">
        <f>SUMIFS('데이터_광고'!$H$2:$H$500,'데이터_광고'!$A$2:$A$500,"아넬라",'데이터_광고'!$B$2:$B$500,"쇼핑검색",'데이터_광고'!$D$2:$D$500,'가정'!$A$51)</f>
        <v/>
      </c>
      <c r="C21" s="7">
        <f>SUMIFS('데이터_광고'!$H$2:$H$500,'데이터_광고'!$A$2:$A$500,"아넬라",'데이터_광고'!$B$2:$B$500,"쇼핑검색",'데이터_광고'!$D$2:$D$500,'가정'!$A$53)</f>
        <v/>
      </c>
      <c r="D21" s="7">
        <f>C21-B21</f>
        <v/>
      </c>
      <c r="E21" s="31">
        <f>IF(B21=0,0,C21/B21-1)</f>
        <v/>
      </c>
    </row>
    <row r="22">
      <c r="A22" s="15" t="inlineStr">
        <is>
          <t>전환율 (구매÷클릭)</t>
        </is>
      </c>
      <c r="B22" s="24">
        <f>IF(B19=0,0,B21/B19)</f>
        <v/>
      </c>
      <c r="C22" s="24">
        <f>IF(C19=0,0,C21/C19)</f>
        <v/>
      </c>
      <c r="D22" s="59">
        <f>(C22-B22)*100</f>
        <v/>
      </c>
      <c r="E22" s="15" t="inlineStr"/>
    </row>
    <row r="23">
      <c r="A23" s="15" t="inlineStr">
        <is>
          <t>매출(원)</t>
        </is>
      </c>
      <c r="B23" s="7">
        <f>SUMIFS('데이터_광고'!$I$2:$I$500,'데이터_광고'!$A$2:$A$500,"아넬라",'데이터_광고'!$B$2:$B$500,"쇼핑검색",'데이터_광고'!$D$2:$D$500,'가정'!$A$51)</f>
        <v/>
      </c>
      <c r="C23" s="7">
        <f>SUMIFS('데이터_광고'!$I$2:$I$500,'데이터_광고'!$A$2:$A$500,"아넬라",'데이터_광고'!$B$2:$B$500,"쇼핑검색",'데이터_광고'!$D$2:$D$500,'가정'!$A$53)</f>
        <v/>
      </c>
      <c r="D23" s="7">
        <f>C23-B23</f>
        <v/>
      </c>
      <c r="E23" s="31">
        <f>IF(B23=0,0,C23/B23-1)</f>
        <v/>
      </c>
    </row>
    <row r="24">
      <c r="A24" s="15" t="inlineStr">
        <is>
          <t>ROAS</t>
        </is>
      </c>
      <c r="B24" s="8">
        <f>IF(B18=0,0,B23/B18)</f>
        <v/>
      </c>
      <c r="C24" s="8">
        <f>IF(C18=0,0,C23/C18)</f>
        <v/>
      </c>
      <c r="D24" s="60">
        <f>(C24-B24)*100</f>
        <v/>
      </c>
      <c r="E24" s="15" t="inlineStr"/>
    </row>
    <row r="27">
      <c r="A27" s="6" t="inlineStr">
        <is>
          <t>참고: 24시간 원복 후 3일 (10/26~10/28, 넾다세일 겹침) 아넬라 쇼핑검색 ROAS</t>
        </is>
      </c>
      <c r="B27" s="50" t="n"/>
      <c r="C27" s="8">
        <f>IF(SUMIFS('데이터_광고'!$E$2:$E$500,'데이터_광고'!$A$2:$A$500,"아넬라",'데이터_광고'!$B$2:$B$500,"쇼핑검색",'데이터_광고'!$D$2:$D$500,'가정'!$A$54)=0,0,SUMIFS('데이터_광고'!$I$2:$I$500,'데이터_광고'!$A$2:$A$500,"아넬라",'데이터_광고'!$B$2:$B$500,"쇼핑검색",'데이터_광고'!$D$2:$D$500,'가정'!$A$54)/SUMIFS('데이터_광고'!$E$2:$E$500,'데이터_광고'!$A$2:$A$500,"아넬라",'데이터_광고'!$B$2:$B$500,"쇼핑검색",'데이터_광고'!$D$2:$D$500,'가정'!$A$54))</f>
        <v/>
      </c>
      <c r="G27" s="21" t="inlineStr">
        <is>
          <t>원복과 넾다세일이 같은 날 시작돼 원복 효과만 따로 볼 수 없습니다. 11/8 이후 상시 구간과 비교가 필요합니다.</t>
        </is>
      </c>
    </row>
    <row r="29">
      <c r="A29" s="3" t="inlineStr">
        <is>
          <t>판단과 제안</t>
        </is>
      </c>
    </row>
    <row r="30" ht="24" customHeight="1">
      <c r="A30" s="5" t="inlineStr">
        <is>
          <t>매체</t>
        </is>
      </c>
      <c r="B30" s="5" t="inlineStr">
        <is>
          <t>판단</t>
        </is>
      </c>
      <c r="C30" s="49" t="n"/>
      <c r="D30" s="49" t="n"/>
      <c r="E30" s="50" t="n"/>
      <c r="G30" s="5" t="inlineStr">
        <is>
          <t>근거 · 확인할 점</t>
        </is>
      </c>
    </row>
    <row r="31" ht="96" customHeight="1">
      <c r="A31" s="52" t="inlineStr">
        <is>
          <t>파워링크</t>
        </is>
      </c>
      <c r="B31" s="32" t="inlineStr">
        <is>
          <t>현행 시간 설정 유지. 매출 볼륨을 추가로 모니터링.</t>
        </is>
      </c>
      <c r="C31" s="49" t="n"/>
      <c r="D31" s="49" t="n"/>
      <c r="E31" s="50" t="n"/>
      <c r="G31" s="39" t="inlineStr">
        <is>
          <t>광고비·클릭 약 58% 감소, 전환율 상승, ROAS 224%→408%. 매출은 -22%로 유입 감소 폭보다 작아 볼륨은 줄었지만 효율은 개선. 확인할 점: 기준기간에 10/21 저효율 키워드 일예산 감액이 함께 들어 있어 시간 제한만의 효과로 보기는 어렵습니다.</t>
        </is>
      </c>
    </row>
    <row r="32" ht="96" customHeight="1">
      <c r="A32" s="52" t="inlineStr">
        <is>
          <t>쇼핑검색</t>
        </is>
      </c>
      <c r="B32" s="32" t="inlineStr">
        <is>
          <t>넾다세일부터(10/26) 24시간 균등 노출로 원복 완료. 이후 시간대별 성과를 함께 확인.</t>
        </is>
      </c>
      <c r="C32" s="49" t="n"/>
      <c r="D32" s="49" t="n"/>
      <c r="E32" s="50" t="n"/>
      <c r="G32" s="39" t="inlineStr">
        <is>
          <t>유입 규모(광고비·클릭 약 +1%)는 유지됐지만 전환율, 매출(-24%), ROAS(490%→368%)가 하락. 노출 제외 시간에도 구매가 발생. 넾다세일로 검색·구매 수요가 커질 가능성이 있어 낮 시간대까지 확보. 시간대별 입찰 비중 조정 기능은 확인되지 않음. 확인할 점: 시간대별 구매 수치는 대행사 보고 기준이며 이 워크북에는 시간대 데이터가 없습니다. 10/26 이후는 원복과 넾다세일이 겹쳐 원복 효과만 따로 보기 어렵습니다.</t>
        </is>
      </c>
    </row>
    <row r="34">
      <c r="A34" s="21" t="inlineStr">
        <is>
          <t>출처: 노출 시간 제한 결과 정리는 대행사 코멘트(사용자 전달, 2026-10-29). 시간 설정은 10/14 시작. 노출 제외 시간대는 0~3시, 17~24시로 파워링크·쇼핑검색 동일(사용자 확인).</t>
        </is>
      </c>
    </row>
  </sheetData>
  <mergeCells count="7">
    <mergeCell ref="B31:E31"/>
    <mergeCell ref="A3:G3"/>
    <mergeCell ref="A34:G34"/>
    <mergeCell ref="B30:E30"/>
    <mergeCell ref="A2:G2"/>
    <mergeCell ref="A27:B27"/>
    <mergeCell ref="B32:E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Q66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11~12월 목표 (보수 / 기준 / 도전)</t>
        </is>
      </c>
    </row>
    <row r="2" ht="28" customHeight="1">
      <c r="A2" s="2" t="inlineStr">
        <is>
          <t>10월 실적의 상시 ROAS와 행사 ROAS를 매체별로 구한 뒤, 월별 행사일수에 따라 섞어서 목표 ROAS와 목표 매출을 계산합니다. 노란 칸의 가정을 바꾸면 전체가 다시 계산됩니다.</t>
        </is>
      </c>
    </row>
    <row r="4">
      <c r="A4" s="3" t="inlineStr">
        <is>
          <t>시나리오 가정 (입력)</t>
        </is>
      </c>
    </row>
    <row r="5">
      <c r="A5" s="5" t="inlineStr">
        <is>
          <t>항목</t>
        </is>
      </c>
      <c r="B5" s="5" t="inlineStr">
        <is>
          <t>보수</t>
        </is>
      </c>
      <c r="C5" s="5" t="inlineStr">
        <is>
          <t>기준</t>
        </is>
      </c>
      <c r="D5" s="5" t="inlineStr">
        <is>
          <t>도전</t>
        </is>
      </c>
      <c r="E5" s="5" t="inlineStr">
        <is>
          <t>근거</t>
        </is>
      </c>
    </row>
    <row r="6" ht="30" customHeight="1">
      <c r="A6" s="15" t="inlineStr">
        <is>
          <t>11월 행사일수 (일)</t>
        </is>
      </c>
      <c r="B6" s="61" t="n">
        <v>8</v>
      </c>
      <c r="C6" s="61" t="n">
        <v>11</v>
      </c>
      <c r="D6" s="61" t="n">
        <v>14</v>
      </c>
      <c r="E6" s="62" t="inlineStr">
        <is>
          <t>보수 = 넾다세일 11/1~11/8 확정분 8일. 기준 = 여기에 아넬라 오늘끝딜(11월 2주 선정 대기) 등 3일 가정. 도전 = 영업팀 블랙프라이데이 행사 3일을 더 가정. 기준·도전의 추가 일수는 가정이며 일정 확정 시 수정</t>
        </is>
      </c>
    </row>
    <row r="7">
      <c r="A7" s="15" t="inlineStr">
        <is>
          <t>12월 행사일수 (일)</t>
        </is>
      </c>
      <c r="B7" s="61" t="n">
        <v>5</v>
      </c>
      <c r="C7" s="61" t="n">
        <v>8</v>
      </c>
      <c r="D7" s="61" t="n">
        <v>11</v>
      </c>
      <c r="E7" s="62" t="inlineStr">
        <is>
          <t>12월 일정은 미정. 10월 행사 비중(28일 중 10일, 약 36%)을 31일로 환산한 11일을 도전으로, 기준·보수는 그보다 낮게 가정</t>
        </is>
      </c>
    </row>
    <row r="8">
      <c r="A8" s="15" t="inlineStr">
        <is>
          <t>이상치 보정 적용 (1=적용, 0=미적용)</t>
        </is>
      </c>
      <c r="B8" s="61" t="n">
        <v>1</v>
      </c>
      <c r="E8" s="21" t="inlineStr">
        <is>
          <t>1이면 로지오가닉 메타 스스의 10/24~25를 상시 ROAS 계산에서 제외 (점검 시트 1번)</t>
        </is>
      </c>
    </row>
    <row r="10">
      <c r="A10" s="3" t="inlineStr">
        <is>
          <t>11월 매체별 목표</t>
        </is>
      </c>
    </row>
    <row r="11" ht="44" customHeight="1">
      <c r="A11" s="5" t="inlineStr">
        <is>
          <t>브랜드</t>
        </is>
      </c>
      <c r="B11" s="5" t="inlineStr">
        <is>
          <t>매체</t>
        </is>
      </c>
      <c r="C11" s="5" t="inlineStr">
        <is>
          <t>10월 상시 광고비(원)</t>
        </is>
      </c>
      <c r="D11" s="5" t="inlineStr">
        <is>
          <t>10월 상시 매출(원)</t>
        </is>
      </c>
      <c r="E11" s="5" t="inlineStr">
        <is>
          <t>10월 행사 광고비(원)</t>
        </is>
      </c>
      <c r="F11" s="5" t="inlineStr">
        <is>
          <t>10월 행사 매출(원)</t>
        </is>
      </c>
      <c r="G11" s="5" t="inlineStr">
        <is>
          <t>보정 광고비(원)</t>
        </is>
      </c>
      <c r="H11" s="5" t="inlineStr">
        <is>
          <t>보정 매출(원)</t>
        </is>
      </c>
      <c r="I11" s="5" t="inlineStr">
        <is>
          <t>상시 ROAS</t>
        </is>
      </c>
      <c r="J11" s="5" t="inlineStr">
        <is>
          <t>행사 ROAS</t>
        </is>
      </c>
      <c r="K11" s="5" t="inlineStr">
        <is>
          <t>11월 광고비(만원)</t>
        </is>
      </c>
      <c r="L11" s="5" t="inlineStr">
        <is>
          <t>목표 ROAS 보수</t>
        </is>
      </c>
      <c r="M11" s="5" t="inlineStr">
        <is>
          <t>목표 ROAS 기준</t>
        </is>
      </c>
      <c r="N11" s="5" t="inlineStr">
        <is>
          <t>목표 ROAS 도전</t>
        </is>
      </c>
      <c r="O11" s="5" t="inlineStr">
        <is>
          <t>목표 매출 보수(만원)</t>
        </is>
      </c>
      <c r="P11" s="5" t="inlineStr">
        <is>
          <t>목표 매출 기준(만원)</t>
        </is>
      </c>
      <c r="Q11" s="5" t="inlineStr">
        <is>
          <t>목표 매출 도전(만원)</t>
        </is>
      </c>
    </row>
    <row r="12">
      <c r="A12" s="15" t="inlineStr">
        <is>
          <t>아넬라</t>
        </is>
      </c>
      <c r="B12" s="15" t="inlineStr">
        <is>
          <t>파워링크</t>
        </is>
      </c>
      <c r="C12" s="7">
        <f>SUMIFS('데이터_광고'!$E$2:$E$500,'데이터_광고'!$A$2:$A$500,$A12,'데이터_광고'!$B$2:$B$500,$B12,'데이터_광고'!$J$2:$J$500,"상시")</f>
        <v/>
      </c>
      <c r="D12" s="7">
        <f>SUMIFS('데이터_광고'!$I$2:$I$500,'데이터_광고'!$A$2:$A$500,$A12,'데이터_광고'!$B$2:$B$500,$B12,'데이터_광고'!$J$2:$J$500,"상시")</f>
        <v/>
      </c>
      <c r="E12" s="7">
        <f>SUMIFS('데이터_광고'!$E$2:$E$500,'데이터_광고'!$A$2:$A$500,$A12,'데이터_광고'!$B$2:$B$500,$B12,'데이터_광고'!$J$2:$J$500,"행사")</f>
        <v/>
      </c>
      <c r="F12" s="7">
        <f>SUMIFS('데이터_광고'!$I$2:$I$500,'데이터_광고'!$A$2:$A$500,$A12,'데이터_광고'!$B$2:$B$500,$B12,'데이터_광고'!$J$2:$J$500,"행사")</f>
        <v/>
      </c>
      <c r="G12" s="7">
        <f>$B$8*SUMIFS('점검'!$D$14:$D$14,'점검'!$A$14:$A$14,$A12,'점검'!$B$14:$B$14,$B12)</f>
        <v/>
      </c>
      <c r="H12" s="7">
        <f>$B$8*SUMIFS('점검'!$E$14:$E$14,'점검'!$A$14:$A$14,$A12,'점검'!$B$14:$B$14,$B12)</f>
        <v/>
      </c>
      <c r="I12" s="16">
        <f>IF(C12-G12&gt;0,(D12-H12)/(C12-G12),IF(E12&gt;0,F12/E12,0))</f>
        <v/>
      </c>
      <c r="J12" s="16">
        <f>IF(E12&gt;0,F12/E12,I12)</f>
        <v/>
      </c>
      <c r="K12" s="22">
        <f>SUMIFS('가정'!$D$16:$D$27,'가정'!$A$16:$A$27,$A12,'가정'!$B$16:$B$27,$B12)</f>
        <v/>
      </c>
      <c r="L12" s="16">
        <f>($B$6*$J12+('가정'!$B$10-$B$6)*$I12)/'가정'!$B$10</f>
        <v/>
      </c>
      <c r="M12" s="16">
        <f>($C$6*$J12+('가정'!$B$10-$C$6)*$I12)/'가정'!$B$10</f>
        <v/>
      </c>
      <c r="N12" s="16">
        <f>($D$6*$J12+('가정'!$B$10-$D$6)*$I12)/'가정'!$B$10</f>
        <v/>
      </c>
      <c r="O12" s="22">
        <f>$K12*L12</f>
        <v/>
      </c>
      <c r="P12" s="22">
        <f>$K12*M12</f>
        <v/>
      </c>
      <c r="Q12" s="22">
        <f>$K12*N12</f>
        <v/>
      </c>
    </row>
    <row r="13">
      <c r="A13" s="15" t="inlineStr">
        <is>
          <t>아넬라</t>
        </is>
      </c>
      <c r="B13" s="15" t="inlineStr">
        <is>
          <t>쇼핑검색</t>
        </is>
      </c>
      <c r="C13" s="7">
        <f>SUMIFS('데이터_광고'!$E$2:$E$500,'데이터_광고'!$A$2:$A$500,$A13,'데이터_광고'!$B$2:$B$500,$B13,'데이터_광고'!$J$2:$J$500,"상시")</f>
        <v/>
      </c>
      <c r="D13" s="7">
        <f>SUMIFS('데이터_광고'!$I$2:$I$500,'데이터_광고'!$A$2:$A$500,$A13,'데이터_광고'!$B$2:$B$500,$B13,'데이터_광고'!$J$2:$J$500,"상시")</f>
        <v/>
      </c>
      <c r="E13" s="7">
        <f>SUMIFS('데이터_광고'!$E$2:$E$500,'데이터_광고'!$A$2:$A$500,$A13,'데이터_광고'!$B$2:$B$500,$B13,'데이터_광고'!$J$2:$J$500,"행사")</f>
        <v/>
      </c>
      <c r="F13" s="7">
        <f>SUMIFS('데이터_광고'!$I$2:$I$500,'데이터_광고'!$A$2:$A$500,$A13,'데이터_광고'!$B$2:$B$500,$B13,'데이터_광고'!$J$2:$J$500,"행사")</f>
        <v/>
      </c>
      <c r="G13" s="7">
        <f>$B$8*SUMIFS('점검'!$D$14:$D$14,'점검'!$A$14:$A$14,$A13,'점검'!$B$14:$B$14,$B13)</f>
        <v/>
      </c>
      <c r="H13" s="7">
        <f>$B$8*SUMIFS('점검'!$E$14:$E$14,'점검'!$A$14:$A$14,$A13,'점검'!$B$14:$B$14,$B13)</f>
        <v/>
      </c>
      <c r="I13" s="16">
        <f>IF(C13-G13&gt;0,(D13-H13)/(C13-G13),IF(E13&gt;0,F13/E13,0))</f>
        <v/>
      </c>
      <c r="J13" s="16">
        <f>IF(E13&gt;0,F13/E13,I13)</f>
        <v/>
      </c>
      <c r="K13" s="22">
        <f>SUMIFS('가정'!$D$16:$D$27,'가정'!$A$16:$A$27,$A13,'가정'!$B$16:$B$27,$B13)</f>
        <v/>
      </c>
      <c r="L13" s="16">
        <f>($B$6*$J13+('가정'!$B$10-$B$6)*$I13)/'가정'!$B$10</f>
        <v/>
      </c>
      <c r="M13" s="16">
        <f>($C$6*$J13+('가정'!$B$10-$C$6)*$I13)/'가정'!$B$10</f>
        <v/>
      </c>
      <c r="N13" s="16">
        <f>($D$6*$J13+('가정'!$B$10-$D$6)*$I13)/'가정'!$B$10</f>
        <v/>
      </c>
      <c r="O13" s="22">
        <f>$K13*L13</f>
        <v/>
      </c>
      <c r="P13" s="22">
        <f>$K13*M13</f>
        <v/>
      </c>
      <c r="Q13" s="22">
        <f>$K13*N13</f>
        <v/>
      </c>
    </row>
    <row r="14">
      <c r="A14" s="15" t="inlineStr">
        <is>
          <t>아넬라</t>
        </is>
      </c>
      <c r="B14" s="15" t="inlineStr">
        <is>
          <t>브랜드검색</t>
        </is>
      </c>
      <c r="C14" s="7">
        <f>SUMIFS('데이터_광고'!$E$2:$E$500,'데이터_광고'!$A$2:$A$500,$A14,'데이터_광고'!$B$2:$B$500,$B14,'데이터_광고'!$J$2:$J$500,"상시")</f>
        <v/>
      </c>
      <c r="D14" s="7">
        <f>SUMIFS('데이터_광고'!$I$2:$I$500,'데이터_광고'!$A$2:$A$500,$A14,'데이터_광고'!$B$2:$B$500,$B14,'데이터_광고'!$J$2:$J$500,"상시")</f>
        <v/>
      </c>
      <c r="E14" s="7">
        <f>SUMIFS('데이터_광고'!$E$2:$E$500,'데이터_광고'!$A$2:$A$500,$A14,'데이터_광고'!$B$2:$B$500,$B14,'데이터_광고'!$J$2:$J$500,"행사")</f>
        <v/>
      </c>
      <c r="F14" s="7">
        <f>SUMIFS('데이터_광고'!$I$2:$I$500,'데이터_광고'!$A$2:$A$500,$A14,'데이터_광고'!$B$2:$B$500,$B14,'데이터_광고'!$J$2:$J$500,"행사")</f>
        <v/>
      </c>
      <c r="G14" s="7">
        <f>$B$8*SUMIFS('점검'!$D$14:$D$14,'점검'!$A$14:$A$14,$A14,'점검'!$B$14:$B$14,$B14)</f>
        <v/>
      </c>
      <c r="H14" s="7">
        <f>$B$8*SUMIFS('점검'!$E$14:$E$14,'점검'!$A$14:$A$14,$A14,'점검'!$B$14:$B$14,$B14)</f>
        <v/>
      </c>
      <c r="I14" s="16">
        <f>IF(C14-G14&gt;0,(D14-H14)/(C14-G14),IF(E14&gt;0,F14/E14,0))</f>
        <v/>
      </c>
      <c r="J14" s="16">
        <f>IF(E14&gt;0,F14/E14,I14)</f>
        <v/>
      </c>
      <c r="K14" s="22">
        <f>'가정'!$B$38*'가정'!$B$10/10000</f>
        <v/>
      </c>
      <c r="L14" s="16">
        <f>($B$6*$J14+('가정'!$B$10-$B$6)*$I14)/'가정'!$B$10</f>
        <v/>
      </c>
      <c r="M14" s="16">
        <f>($C$6*$J14+('가정'!$B$10-$C$6)*$I14)/'가정'!$B$10</f>
        <v/>
      </c>
      <c r="N14" s="16">
        <f>($D$6*$J14+('가정'!$B$10-$D$6)*$I14)/'가정'!$B$10</f>
        <v/>
      </c>
      <c r="O14" s="22">
        <f>$K14*L14</f>
        <v/>
      </c>
      <c r="P14" s="22">
        <f>$K14*M14</f>
        <v/>
      </c>
      <c r="Q14" s="22">
        <f>$K14*N14</f>
        <v/>
      </c>
    </row>
    <row r="15">
      <c r="A15" s="15" t="inlineStr">
        <is>
          <t>아넬라</t>
        </is>
      </c>
      <c r="B15" s="15" t="inlineStr">
        <is>
          <t>GFA 카탈로그</t>
        </is>
      </c>
      <c r="C15" s="7">
        <f>SUMIFS('데이터_광고'!$E$2:$E$500,'데이터_광고'!$A$2:$A$500,$A15,'데이터_광고'!$B$2:$B$500,$B15,'데이터_광고'!$J$2:$J$500,"상시")</f>
        <v/>
      </c>
      <c r="D15" s="7">
        <f>SUMIFS('데이터_광고'!$I$2:$I$500,'데이터_광고'!$A$2:$A$500,$A15,'데이터_광고'!$B$2:$B$500,$B15,'데이터_광고'!$J$2:$J$500,"상시")</f>
        <v/>
      </c>
      <c r="E15" s="7">
        <f>SUMIFS('데이터_광고'!$E$2:$E$500,'데이터_광고'!$A$2:$A$500,$A15,'데이터_광고'!$B$2:$B$500,$B15,'데이터_광고'!$J$2:$J$500,"행사")</f>
        <v/>
      </c>
      <c r="F15" s="7">
        <f>SUMIFS('데이터_광고'!$I$2:$I$500,'데이터_광고'!$A$2:$A$500,$A15,'데이터_광고'!$B$2:$B$500,$B15,'데이터_광고'!$J$2:$J$500,"행사")</f>
        <v/>
      </c>
      <c r="G15" s="7">
        <f>$B$8*SUMIFS('점검'!$D$14:$D$14,'점검'!$A$14:$A$14,$A15,'점검'!$B$14:$B$14,$B15)</f>
        <v/>
      </c>
      <c r="H15" s="7">
        <f>$B$8*SUMIFS('점검'!$E$14:$E$14,'점검'!$A$14:$A$14,$A15,'점검'!$B$14:$B$14,$B15)</f>
        <v/>
      </c>
      <c r="I15" s="16">
        <f>IF(C15-G15&gt;0,(D15-H15)/(C15-G15),IF(E15&gt;0,F15/E15,0))</f>
        <v/>
      </c>
      <c r="J15" s="16">
        <f>IF(E15&gt;0,F15/E15,I15)</f>
        <v/>
      </c>
      <c r="K15" s="22">
        <f>SUMIFS('가정'!$D$16:$D$27,'가정'!$A$16:$A$27,$A15,'가정'!$B$16:$B$27,$B15)</f>
        <v/>
      </c>
      <c r="L15" s="16">
        <f>($B$6*$J15+('가정'!$B$10-$B$6)*$I15)/'가정'!$B$10</f>
        <v/>
      </c>
      <c r="M15" s="16">
        <f>($C$6*$J15+('가정'!$B$10-$C$6)*$I15)/'가정'!$B$10</f>
        <v/>
      </c>
      <c r="N15" s="16">
        <f>($D$6*$J15+('가정'!$B$10-$D$6)*$I15)/'가정'!$B$10</f>
        <v/>
      </c>
      <c r="O15" s="22">
        <f>$K15*L15</f>
        <v/>
      </c>
      <c r="P15" s="22">
        <f>$K15*M15</f>
        <v/>
      </c>
      <c r="Q15" s="22">
        <f>$K15*N15</f>
        <v/>
      </c>
    </row>
    <row r="16">
      <c r="A16" s="15" t="inlineStr">
        <is>
          <t>아넬라</t>
        </is>
      </c>
      <c r="B16" s="15" t="inlineStr">
        <is>
          <t>GFA 전환</t>
        </is>
      </c>
      <c r="C16" s="7">
        <f>SUMIFS('데이터_광고'!$E$2:$E$500,'데이터_광고'!$A$2:$A$500,$A16,'데이터_광고'!$B$2:$B$500,$B16,'데이터_광고'!$J$2:$J$500,"상시")</f>
        <v/>
      </c>
      <c r="D16" s="7">
        <f>SUMIFS('데이터_광고'!$I$2:$I$500,'데이터_광고'!$A$2:$A$500,$A16,'데이터_광고'!$B$2:$B$500,$B16,'데이터_광고'!$J$2:$J$500,"상시")</f>
        <v/>
      </c>
      <c r="E16" s="7">
        <f>SUMIFS('데이터_광고'!$E$2:$E$500,'데이터_광고'!$A$2:$A$500,$A16,'데이터_광고'!$B$2:$B$500,$B16,'데이터_광고'!$J$2:$J$500,"행사")</f>
        <v/>
      </c>
      <c r="F16" s="7">
        <f>SUMIFS('데이터_광고'!$I$2:$I$500,'데이터_광고'!$A$2:$A$500,$A16,'데이터_광고'!$B$2:$B$500,$B16,'데이터_광고'!$J$2:$J$500,"행사")</f>
        <v/>
      </c>
      <c r="G16" s="7">
        <f>$B$8*SUMIFS('점검'!$D$14:$D$14,'점검'!$A$14:$A$14,$A16,'점검'!$B$14:$B$14,$B16)</f>
        <v/>
      </c>
      <c r="H16" s="7">
        <f>$B$8*SUMIFS('점검'!$E$14:$E$14,'점검'!$A$14:$A$14,$A16,'점검'!$B$14:$B$14,$B16)</f>
        <v/>
      </c>
      <c r="I16" s="16">
        <f>IF(C16-G16&gt;0,(D16-H16)/(C16-G16),IF(E16&gt;0,F16/E16,0))</f>
        <v/>
      </c>
      <c r="J16" s="16">
        <f>IF(E16&gt;0,F16/E16,I16)</f>
        <v/>
      </c>
      <c r="K16" s="22">
        <f>SUMIFS('가정'!$D$16:$D$27,'가정'!$A$16:$A$27,$A16,'가정'!$B$16:$B$27,$B16)</f>
        <v/>
      </c>
      <c r="L16" s="16">
        <f>($B$6*$J16+('가정'!$B$10-$B$6)*$I16)/'가정'!$B$10</f>
        <v/>
      </c>
      <c r="M16" s="16">
        <f>($C$6*$J16+('가정'!$B$10-$C$6)*$I16)/'가정'!$B$10</f>
        <v/>
      </c>
      <c r="N16" s="16">
        <f>($D$6*$J16+('가정'!$B$10-$D$6)*$I16)/'가정'!$B$10</f>
        <v/>
      </c>
      <c r="O16" s="22">
        <f>$K16*L16</f>
        <v/>
      </c>
      <c r="P16" s="22">
        <f>$K16*M16</f>
        <v/>
      </c>
      <c r="Q16" s="22">
        <f>$K16*N16</f>
        <v/>
      </c>
    </row>
    <row r="17">
      <c r="A17" s="15" t="inlineStr">
        <is>
          <t>아넬라</t>
        </is>
      </c>
      <c r="B17" s="15" t="inlineStr">
        <is>
          <t>메타 스스</t>
        </is>
      </c>
      <c r="C17" s="7">
        <f>SUMIFS('데이터_광고'!$E$2:$E$500,'데이터_광고'!$A$2:$A$500,$A17,'데이터_광고'!$B$2:$B$500,$B17,'데이터_광고'!$J$2:$J$500,"상시")</f>
        <v/>
      </c>
      <c r="D17" s="7">
        <f>SUMIFS('데이터_광고'!$I$2:$I$500,'데이터_광고'!$A$2:$A$500,$A17,'데이터_광고'!$B$2:$B$500,$B17,'데이터_광고'!$J$2:$J$500,"상시")</f>
        <v/>
      </c>
      <c r="E17" s="7">
        <f>SUMIFS('데이터_광고'!$E$2:$E$500,'데이터_광고'!$A$2:$A$500,$A17,'데이터_광고'!$B$2:$B$500,$B17,'데이터_광고'!$J$2:$J$500,"행사")</f>
        <v/>
      </c>
      <c r="F17" s="7">
        <f>SUMIFS('데이터_광고'!$I$2:$I$500,'데이터_광고'!$A$2:$A$500,$A17,'데이터_광고'!$B$2:$B$500,$B17,'데이터_광고'!$J$2:$J$500,"행사")</f>
        <v/>
      </c>
      <c r="G17" s="7">
        <f>$B$8*SUMIFS('점검'!$D$14:$D$14,'점검'!$A$14:$A$14,$A17,'점검'!$B$14:$B$14,$B17)</f>
        <v/>
      </c>
      <c r="H17" s="7">
        <f>$B$8*SUMIFS('점검'!$E$14:$E$14,'점검'!$A$14:$A$14,$A17,'점검'!$B$14:$B$14,$B17)</f>
        <v/>
      </c>
      <c r="I17" s="16">
        <f>IF(C17-G17&gt;0,(D17-H17)/(C17-G17),IF(E17&gt;0,F17/E17,0))</f>
        <v/>
      </c>
      <c r="J17" s="16">
        <f>IF(E17&gt;0,F17/E17,I17)</f>
        <v/>
      </c>
      <c r="K17" s="22">
        <f>SUMIFS('가정'!$D$16:$D$27,'가정'!$A$16:$A$27,$A17,'가정'!$B$16:$B$27,$B17)</f>
        <v/>
      </c>
      <c r="L17" s="16">
        <f>($B$6*$J17+('가정'!$B$10-$B$6)*$I17)/'가정'!$B$10</f>
        <v/>
      </c>
      <c r="M17" s="16">
        <f>($C$6*$J17+('가정'!$B$10-$C$6)*$I17)/'가정'!$B$10</f>
        <v/>
      </c>
      <c r="N17" s="16">
        <f>($D$6*$J17+('가정'!$B$10-$D$6)*$I17)/'가정'!$B$10</f>
        <v/>
      </c>
      <c r="O17" s="22">
        <f>$K17*L17</f>
        <v/>
      </c>
      <c r="P17" s="22">
        <f>$K17*M17</f>
        <v/>
      </c>
      <c r="Q17" s="22">
        <f>$K17*N17</f>
        <v/>
      </c>
    </row>
    <row r="18">
      <c r="A18" s="15" t="inlineStr">
        <is>
          <t>아넬라</t>
        </is>
      </c>
      <c r="B18" s="15" t="inlineStr">
        <is>
          <t>메타 자사몰</t>
        </is>
      </c>
      <c r="C18" s="7">
        <f>SUMIFS('데이터_광고'!$E$2:$E$500,'데이터_광고'!$A$2:$A$500,$A18,'데이터_광고'!$B$2:$B$500,$B18,'데이터_광고'!$J$2:$J$500,"상시")</f>
        <v/>
      </c>
      <c r="D18" s="7">
        <f>SUMIFS('데이터_광고'!$I$2:$I$500,'데이터_광고'!$A$2:$A$500,$A18,'데이터_광고'!$B$2:$B$500,$B18,'데이터_광고'!$J$2:$J$500,"상시")</f>
        <v/>
      </c>
      <c r="E18" s="7">
        <f>SUMIFS('데이터_광고'!$E$2:$E$500,'데이터_광고'!$A$2:$A$500,$A18,'데이터_광고'!$B$2:$B$500,$B18,'데이터_광고'!$J$2:$J$500,"행사")</f>
        <v/>
      </c>
      <c r="F18" s="7">
        <f>SUMIFS('데이터_광고'!$I$2:$I$500,'데이터_광고'!$A$2:$A$500,$A18,'데이터_광고'!$B$2:$B$500,$B18,'데이터_광고'!$J$2:$J$500,"행사")</f>
        <v/>
      </c>
      <c r="G18" s="7">
        <f>$B$8*SUMIFS('점검'!$D$14:$D$14,'점검'!$A$14:$A$14,$A18,'점검'!$B$14:$B$14,$B18)</f>
        <v/>
      </c>
      <c r="H18" s="7">
        <f>$B$8*SUMIFS('점검'!$E$14:$E$14,'점검'!$A$14:$A$14,$A18,'점검'!$B$14:$B$14,$B18)</f>
        <v/>
      </c>
      <c r="I18" s="16">
        <f>IF(C18-G18&gt;0,(D18-H18)/(C18-G18),IF(E18&gt;0,F18/E18,0))</f>
        <v/>
      </c>
      <c r="J18" s="16">
        <f>IF(E18&gt;0,F18/E18,I18)</f>
        <v/>
      </c>
      <c r="K18" s="22">
        <f>SUMIFS('가정'!$D$16:$D$27,'가정'!$A$16:$A$27,$A18,'가정'!$B$16:$B$27,$B18)</f>
        <v/>
      </c>
      <c r="L18" s="16">
        <f>($B$6*$J18+('가정'!$B$10-$B$6)*$I18)/'가정'!$B$10</f>
        <v/>
      </c>
      <c r="M18" s="16">
        <f>($C$6*$J18+('가정'!$B$10-$C$6)*$I18)/'가정'!$B$10</f>
        <v/>
      </c>
      <c r="N18" s="16">
        <f>($D$6*$J18+('가정'!$B$10-$D$6)*$I18)/'가정'!$B$10</f>
        <v/>
      </c>
      <c r="O18" s="22">
        <f>$K18*L18</f>
        <v/>
      </c>
      <c r="P18" s="22">
        <f>$K18*M18</f>
        <v/>
      </c>
      <c r="Q18" s="22">
        <f>$K18*N18</f>
        <v/>
      </c>
    </row>
    <row r="19">
      <c r="A19" s="11" t="inlineStr">
        <is>
          <t>아넬라</t>
        </is>
      </c>
      <c r="B19" s="11" t="inlineStr">
        <is>
          <t>합계</t>
        </is>
      </c>
      <c r="C19" s="35" t="inlineStr"/>
      <c r="D19" s="35" t="inlineStr"/>
      <c r="E19" s="35" t="inlineStr"/>
      <c r="F19" s="35" t="inlineStr"/>
      <c r="G19" s="35" t="inlineStr"/>
      <c r="H19" s="35" t="inlineStr"/>
      <c r="I19" s="35" t="inlineStr"/>
      <c r="J19" s="35" t="inlineStr"/>
      <c r="K19" s="26">
        <f>SUM(K12:K18)</f>
        <v/>
      </c>
      <c r="L19" s="13">
        <f>IF($K19=0,0,O19/$K19)</f>
        <v/>
      </c>
      <c r="M19" s="13">
        <f>IF($K19=0,0,P19/$K19)</f>
        <v/>
      </c>
      <c r="N19" s="13">
        <f>IF($K19=0,0,Q19/$K19)</f>
        <v/>
      </c>
      <c r="O19" s="26">
        <f>SUM(O12:O18)</f>
        <v/>
      </c>
      <c r="P19" s="26">
        <f>SUM(P12:P18)</f>
        <v/>
      </c>
      <c r="Q19" s="26">
        <f>SUM(Q12:Q18)</f>
        <v/>
      </c>
    </row>
    <row r="20">
      <c r="A20" s="15" t="inlineStr">
        <is>
          <t>로지오가닉</t>
        </is>
      </c>
      <c r="B20" s="15" t="inlineStr">
        <is>
          <t>파워링크</t>
        </is>
      </c>
      <c r="C20" s="7">
        <f>SUMIFS('데이터_광고'!$E$2:$E$500,'데이터_광고'!$A$2:$A$500,$A20,'데이터_광고'!$B$2:$B$500,$B20,'데이터_광고'!$J$2:$J$500,"상시")</f>
        <v/>
      </c>
      <c r="D20" s="7">
        <f>SUMIFS('데이터_광고'!$I$2:$I$500,'데이터_광고'!$A$2:$A$500,$A20,'데이터_광고'!$B$2:$B$500,$B20,'데이터_광고'!$J$2:$J$500,"상시")</f>
        <v/>
      </c>
      <c r="E20" s="7">
        <f>SUMIFS('데이터_광고'!$E$2:$E$500,'데이터_광고'!$A$2:$A$500,$A20,'데이터_광고'!$B$2:$B$500,$B20,'데이터_광고'!$J$2:$J$500,"행사")</f>
        <v/>
      </c>
      <c r="F20" s="7">
        <f>SUMIFS('데이터_광고'!$I$2:$I$500,'데이터_광고'!$A$2:$A$500,$A20,'데이터_광고'!$B$2:$B$500,$B20,'데이터_광고'!$J$2:$J$500,"행사")</f>
        <v/>
      </c>
      <c r="G20" s="7">
        <f>$B$8*SUMIFS('점검'!$D$14:$D$14,'점검'!$A$14:$A$14,$A20,'점검'!$B$14:$B$14,$B20)</f>
        <v/>
      </c>
      <c r="H20" s="7">
        <f>$B$8*SUMIFS('점검'!$E$14:$E$14,'점검'!$A$14:$A$14,$A20,'점검'!$B$14:$B$14,$B20)</f>
        <v/>
      </c>
      <c r="I20" s="16">
        <f>IF(C20-G20&gt;0,(D20-H20)/(C20-G20),IF(E20&gt;0,F20/E20,0))</f>
        <v/>
      </c>
      <c r="J20" s="16">
        <f>IF(E20&gt;0,F20/E20,I20)</f>
        <v/>
      </c>
      <c r="K20" s="22">
        <f>SUMIFS('가정'!$D$16:$D$27,'가정'!$A$16:$A$27,$A20,'가정'!$B$16:$B$27,$B20)</f>
        <v/>
      </c>
      <c r="L20" s="16">
        <f>($B$6*$J20+('가정'!$B$10-$B$6)*$I20)/'가정'!$B$10</f>
        <v/>
      </c>
      <c r="M20" s="16">
        <f>($C$6*$J20+('가정'!$B$10-$C$6)*$I20)/'가정'!$B$10</f>
        <v/>
      </c>
      <c r="N20" s="16">
        <f>($D$6*$J20+('가정'!$B$10-$D$6)*$I20)/'가정'!$B$10</f>
        <v/>
      </c>
      <c r="O20" s="22">
        <f>$K20*L20</f>
        <v/>
      </c>
      <c r="P20" s="22">
        <f>$K20*M20</f>
        <v/>
      </c>
      <c r="Q20" s="22">
        <f>$K20*N20</f>
        <v/>
      </c>
    </row>
    <row r="21">
      <c r="A21" s="15" t="inlineStr">
        <is>
          <t>로지오가닉</t>
        </is>
      </c>
      <c r="B21" s="15" t="inlineStr">
        <is>
          <t>쇼핑검색</t>
        </is>
      </c>
      <c r="C21" s="7">
        <f>SUMIFS('데이터_광고'!$E$2:$E$500,'데이터_광고'!$A$2:$A$500,$A21,'데이터_광고'!$B$2:$B$500,$B21,'데이터_광고'!$J$2:$J$500,"상시")</f>
        <v/>
      </c>
      <c r="D21" s="7">
        <f>SUMIFS('데이터_광고'!$I$2:$I$500,'데이터_광고'!$A$2:$A$500,$A21,'데이터_광고'!$B$2:$B$500,$B21,'데이터_광고'!$J$2:$J$500,"상시")</f>
        <v/>
      </c>
      <c r="E21" s="7">
        <f>SUMIFS('데이터_광고'!$E$2:$E$500,'데이터_광고'!$A$2:$A$500,$A21,'데이터_광고'!$B$2:$B$500,$B21,'데이터_광고'!$J$2:$J$500,"행사")</f>
        <v/>
      </c>
      <c r="F21" s="7">
        <f>SUMIFS('데이터_광고'!$I$2:$I$500,'데이터_광고'!$A$2:$A$500,$A21,'데이터_광고'!$B$2:$B$500,$B21,'데이터_광고'!$J$2:$J$500,"행사")</f>
        <v/>
      </c>
      <c r="G21" s="7">
        <f>$B$8*SUMIFS('점검'!$D$14:$D$14,'점검'!$A$14:$A$14,$A21,'점검'!$B$14:$B$14,$B21)</f>
        <v/>
      </c>
      <c r="H21" s="7">
        <f>$B$8*SUMIFS('점검'!$E$14:$E$14,'점검'!$A$14:$A$14,$A21,'점검'!$B$14:$B$14,$B21)</f>
        <v/>
      </c>
      <c r="I21" s="16">
        <f>IF(C21-G21&gt;0,(D21-H21)/(C21-G21),IF(E21&gt;0,F21/E21,0))</f>
        <v/>
      </c>
      <c r="J21" s="16">
        <f>IF(E21&gt;0,F21/E21,I21)</f>
        <v/>
      </c>
      <c r="K21" s="22">
        <f>SUMIFS('가정'!$D$16:$D$27,'가정'!$A$16:$A$27,$A21,'가정'!$B$16:$B$27,$B21)</f>
        <v/>
      </c>
      <c r="L21" s="16">
        <f>($B$6*$J21+('가정'!$B$10-$B$6)*$I21)/'가정'!$B$10</f>
        <v/>
      </c>
      <c r="M21" s="16">
        <f>($C$6*$J21+('가정'!$B$10-$C$6)*$I21)/'가정'!$B$10</f>
        <v/>
      </c>
      <c r="N21" s="16">
        <f>($D$6*$J21+('가정'!$B$10-$D$6)*$I21)/'가정'!$B$10</f>
        <v/>
      </c>
      <c r="O21" s="22">
        <f>$K21*L21</f>
        <v/>
      </c>
      <c r="P21" s="22">
        <f>$K21*M21</f>
        <v/>
      </c>
      <c r="Q21" s="22">
        <f>$K21*N21</f>
        <v/>
      </c>
    </row>
    <row r="22">
      <c r="A22" s="15" t="inlineStr">
        <is>
          <t>로지오가닉</t>
        </is>
      </c>
      <c r="B22" s="15" t="inlineStr">
        <is>
          <t>브랜드검색</t>
        </is>
      </c>
      <c r="C22" s="7">
        <f>SUMIFS('데이터_광고'!$E$2:$E$500,'데이터_광고'!$A$2:$A$500,$A22,'데이터_광고'!$B$2:$B$500,$B22,'데이터_광고'!$J$2:$J$500,"상시")</f>
        <v/>
      </c>
      <c r="D22" s="7">
        <f>SUMIFS('데이터_광고'!$I$2:$I$500,'데이터_광고'!$A$2:$A$500,$A22,'데이터_광고'!$B$2:$B$500,$B22,'데이터_광고'!$J$2:$J$500,"상시")</f>
        <v/>
      </c>
      <c r="E22" s="7">
        <f>SUMIFS('데이터_광고'!$E$2:$E$500,'데이터_광고'!$A$2:$A$500,$A22,'데이터_광고'!$B$2:$B$500,$B22,'데이터_광고'!$J$2:$J$500,"행사")</f>
        <v/>
      </c>
      <c r="F22" s="7">
        <f>SUMIFS('데이터_광고'!$I$2:$I$500,'데이터_광고'!$A$2:$A$500,$A22,'데이터_광고'!$B$2:$B$500,$B22,'데이터_광고'!$J$2:$J$500,"행사")</f>
        <v/>
      </c>
      <c r="G22" s="7">
        <f>$B$8*SUMIFS('점검'!$D$14:$D$14,'점검'!$A$14:$A$14,$A22,'점검'!$B$14:$B$14,$B22)</f>
        <v/>
      </c>
      <c r="H22" s="7">
        <f>$B$8*SUMIFS('점검'!$E$14:$E$14,'점검'!$A$14:$A$14,$A22,'점검'!$B$14:$B$14,$B22)</f>
        <v/>
      </c>
      <c r="I22" s="16">
        <f>IF(C22-G22&gt;0,(D22-H22)/(C22-G22),IF(E22&gt;0,F22/E22,0))</f>
        <v/>
      </c>
      <c r="J22" s="16">
        <f>IF(E22&gt;0,F22/E22,I22)</f>
        <v/>
      </c>
      <c r="K22" s="22">
        <f>'가정'!$B$38*'가정'!$B$10/10000</f>
        <v/>
      </c>
      <c r="L22" s="16">
        <f>($B$6*$J22+('가정'!$B$10-$B$6)*$I22)/'가정'!$B$10</f>
        <v/>
      </c>
      <c r="M22" s="16">
        <f>($C$6*$J22+('가정'!$B$10-$C$6)*$I22)/'가정'!$B$10</f>
        <v/>
      </c>
      <c r="N22" s="16">
        <f>($D$6*$J22+('가정'!$B$10-$D$6)*$I22)/'가정'!$B$10</f>
        <v/>
      </c>
      <c r="O22" s="22">
        <f>$K22*L22</f>
        <v/>
      </c>
      <c r="P22" s="22">
        <f>$K22*M22</f>
        <v/>
      </c>
      <c r="Q22" s="22">
        <f>$K22*N22</f>
        <v/>
      </c>
    </row>
    <row r="23">
      <c r="A23" s="15" t="inlineStr">
        <is>
          <t>로지오가닉</t>
        </is>
      </c>
      <c r="B23" s="15" t="inlineStr">
        <is>
          <t>GFA 카탈로그</t>
        </is>
      </c>
      <c r="C23" s="7">
        <f>SUMIFS('데이터_광고'!$E$2:$E$500,'데이터_광고'!$A$2:$A$500,$A23,'데이터_광고'!$B$2:$B$500,$B23,'데이터_광고'!$J$2:$J$500,"상시")</f>
        <v/>
      </c>
      <c r="D23" s="7">
        <f>SUMIFS('데이터_광고'!$I$2:$I$500,'데이터_광고'!$A$2:$A$500,$A23,'데이터_광고'!$B$2:$B$500,$B23,'데이터_광고'!$J$2:$J$500,"상시")</f>
        <v/>
      </c>
      <c r="E23" s="7">
        <f>SUMIFS('데이터_광고'!$E$2:$E$500,'데이터_광고'!$A$2:$A$500,$A23,'데이터_광고'!$B$2:$B$500,$B23,'데이터_광고'!$J$2:$J$500,"행사")</f>
        <v/>
      </c>
      <c r="F23" s="7">
        <f>SUMIFS('데이터_광고'!$I$2:$I$500,'데이터_광고'!$A$2:$A$500,$A23,'데이터_광고'!$B$2:$B$500,$B23,'데이터_광고'!$J$2:$J$500,"행사")</f>
        <v/>
      </c>
      <c r="G23" s="7">
        <f>$B$8*SUMIFS('점검'!$D$14:$D$14,'점검'!$A$14:$A$14,$A23,'점검'!$B$14:$B$14,$B23)</f>
        <v/>
      </c>
      <c r="H23" s="7">
        <f>$B$8*SUMIFS('점검'!$E$14:$E$14,'점검'!$A$14:$A$14,$A23,'점검'!$B$14:$B$14,$B23)</f>
        <v/>
      </c>
      <c r="I23" s="16">
        <f>IF(C23-G23&gt;0,(D23-H23)/(C23-G23),IF(E23&gt;0,F23/E23,0))</f>
        <v/>
      </c>
      <c r="J23" s="16">
        <f>IF(E23&gt;0,F23/E23,I23)</f>
        <v/>
      </c>
      <c r="K23" s="22">
        <f>SUMIFS('가정'!$D$16:$D$27,'가정'!$A$16:$A$27,$A23,'가정'!$B$16:$B$27,$B23)</f>
        <v/>
      </c>
      <c r="L23" s="16">
        <f>($B$6*$J23+('가정'!$B$10-$B$6)*$I23)/'가정'!$B$10</f>
        <v/>
      </c>
      <c r="M23" s="16">
        <f>($C$6*$J23+('가정'!$B$10-$C$6)*$I23)/'가정'!$B$10</f>
        <v/>
      </c>
      <c r="N23" s="16">
        <f>($D$6*$J23+('가정'!$B$10-$D$6)*$I23)/'가정'!$B$10</f>
        <v/>
      </c>
      <c r="O23" s="22">
        <f>$K23*L23</f>
        <v/>
      </c>
      <c r="P23" s="22">
        <f>$K23*M23</f>
        <v/>
      </c>
      <c r="Q23" s="22">
        <f>$K23*N23</f>
        <v/>
      </c>
    </row>
    <row r="24">
      <c r="A24" s="15" t="inlineStr">
        <is>
          <t>로지오가닉</t>
        </is>
      </c>
      <c r="B24" s="15" t="inlineStr">
        <is>
          <t>GFA 전환</t>
        </is>
      </c>
      <c r="C24" s="7">
        <f>SUMIFS('데이터_광고'!$E$2:$E$500,'데이터_광고'!$A$2:$A$500,$A24,'데이터_광고'!$B$2:$B$500,$B24,'데이터_광고'!$J$2:$J$500,"상시")</f>
        <v/>
      </c>
      <c r="D24" s="7">
        <f>SUMIFS('데이터_광고'!$I$2:$I$500,'데이터_광고'!$A$2:$A$500,$A24,'데이터_광고'!$B$2:$B$500,$B24,'데이터_광고'!$J$2:$J$500,"상시")</f>
        <v/>
      </c>
      <c r="E24" s="7">
        <f>SUMIFS('데이터_광고'!$E$2:$E$500,'데이터_광고'!$A$2:$A$500,$A24,'데이터_광고'!$B$2:$B$500,$B24,'데이터_광고'!$J$2:$J$500,"행사")</f>
        <v/>
      </c>
      <c r="F24" s="7">
        <f>SUMIFS('데이터_광고'!$I$2:$I$500,'데이터_광고'!$A$2:$A$500,$A24,'데이터_광고'!$B$2:$B$500,$B24,'데이터_광고'!$J$2:$J$500,"행사")</f>
        <v/>
      </c>
      <c r="G24" s="7">
        <f>$B$8*SUMIFS('점검'!$D$14:$D$14,'점검'!$A$14:$A$14,$A24,'점검'!$B$14:$B$14,$B24)</f>
        <v/>
      </c>
      <c r="H24" s="7">
        <f>$B$8*SUMIFS('점검'!$E$14:$E$14,'점검'!$A$14:$A$14,$A24,'점검'!$B$14:$B$14,$B24)</f>
        <v/>
      </c>
      <c r="I24" s="16">
        <f>IF(C24-G24&gt;0,(D24-H24)/(C24-G24),IF(E24&gt;0,F24/E24,0))</f>
        <v/>
      </c>
      <c r="J24" s="16">
        <f>IF(E24&gt;0,F24/E24,I24)</f>
        <v/>
      </c>
      <c r="K24" s="22">
        <f>SUMIFS('가정'!$D$16:$D$27,'가정'!$A$16:$A$27,$A24,'가정'!$B$16:$B$27,$B24)</f>
        <v/>
      </c>
      <c r="L24" s="16">
        <f>($B$6*$J24+('가정'!$B$10-$B$6)*$I24)/'가정'!$B$10</f>
        <v/>
      </c>
      <c r="M24" s="16">
        <f>($C$6*$J24+('가정'!$B$10-$C$6)*$I24)/'가정'!$B$10</f>
        <v/>
      </c>
      <c r="N24" s="16">
        <f>($D$6*$J24+('가정'!$B$10-$D$6)*$I24)/'가정'!$B$10</f>
        <v/>
      </c>
      <c r="O24" s="22">
        <f>$K24*L24</f>
        <v/>
      </c>
      <c r="P24" s="22">
        <f>$K24*M24</f>
        <v/>
      </c>
      <c r="Q24" s="22">
        <f>$K24*N24</f>
        <v/>
      </c>
    </row>
    <row r="25">
      <c r="A25" s="15" t="inlineStr">
        <is>
          <t>로지오가닉</t>
        </is>
      </c>
      <c r="B25" s="15" t="inlineStr">
        <is>
          <t>메타 스스</t>
        </is>
      </c>
      <c r="C25" s="7">
        <f>SUMIFS('데이터_광고'!$E$2:$E$500,'데이터_광고'!$A$2:$A$500,$A25,'데이터_광고'!$B$2:$B$500,$B25,'데이터_광고'!$J$2:$J$500,"상시")</f>
        <v/>
      </c>
      <c r="D25" s="7">
        <f>SUMIFS('데이터_광고'!$I$2:$I$500,'데이터_광고'!$A$2:$A$500,$A25,'데이터_광고'!$B$2:$B$500,$B25,'데이터_광고'!$J$2:$J$500,"상시")</f>
        <v/>
      </c>
      <c r="E25" s="7">
        <f>SUMIFS('데이터_광고'!$E$2:$E$500,'데이터_광고'!$A$2:$A$500,$A25,'데이터_광고'!$B$2:$B$500,$B25,'데이터_광고'!$J$2:$J$500,"행사")</f>
        <v/>
      </c>
      <c r="F25" s="7">
        <f>SUMIFS('데이터_광고'!$I$2:$I$500,'데이터_광고'!$A$2:$A$500,$A25,'데이터_광고'!$B$2:$B$500,$B25,'데이터_광고'!$J$2:$J$500,"행사")</f>
        <v/>
      </c>
      <c r="G25" s="7">
        <f>$B$8*SUMIFS('점검'!$D$14:$D$14,'점검'!$A$14:$A$14,$A25,'점검'!$B$14:$B$14,$B25)</f>
        <v/>
      </c>
      <c r="H25" s="7">
        <f>$B$8*SUMIFS('점검'!$E$14:$E$14,'점검'!$A$14:$A$14,$A25,'점검'!$B$14:$B$14,$B25)</f>
        <v/>
      </c>
      <c r="I25" s="16">
        <f>IF(C25-G25&gt;0,(D25-H25)/(C25-G25),IF(E25&gt;0,F25/E25,0))</f>
        <v/>
      </c>
      <c r="J25" s="16">
        <f>IF(E25&gt;0,F25/E25,I25)</f>
        <v/>
      </c>
      <c r="K25" s="22">
        <f>SUMIFS('가정'!$D$16:$D$27,'가정'!$A$16:$A$27,$A25,'가정'!$B$16:$B$27,$B25)</f>
        <v/>
      </c>
      <c r="L25" s="16">
        <f>($B$6*$J25+('가정'!$B$10-$B$6)*$I25)/'가정'!$B$10</f>
        <v/>
      </c>
      <c r="M25" s="16">
        <f>($C$6*$J25+('가정'!$B$10-$C$6)*$I25)/'가정'!$B$10</f>
        <v/>
      </c>
      <c r="N25" s="16">
        <f>($D$6*$J25+('가정'!$B$10-$D$6)*$I25)/'가정'!$B$10</f>
        <v/>
      </c>
      <c r="O25" s="22">
        <f>$K25*L25</f>
        <v/>
      </c>
      <c r="P25" s="22">
        <f>$K25*M25</f>
        <v/>
      </c>
      <c r="Q25" s="22">
        <f>$K25*N25</f>
        <v/>
      </c>
    </row>
    <row r="26">
      <c r="A26" s="15" t="inlineStr">
        <is>
          <t>로지오가닉</t>
        </is>
      </c>
      <c r="B26" s="15" t="inlineStr">
        <is>
          <t>메타 자사몰</t>
        </is>
      </c>
      <c r="C26" s="7">
        <f>SUMIFS('데이터_광고'!$E$2:$E$500,'데이터_광고'!$A$2:$A$500,$A26,'데이터_광고'!$B$2:$B$500,$B26,'데이터_광고'!$J$2:$J$500,"상시")</f>
        <v/>
      </c>
      <c r="D26" s="7">
        <f>SUMIFS('데이터_광고'!$I$2:$I$500,'데이터_광고'!$A$2:$A$500,$A26,'데이터_광고'!$B$2:$B$500,$B26,'데이터_광고'!$J$2:$J$500,"상시")</f>
        <v/>
      </c>
      <c r="E26" s="7">
        <f>SUMIFS('데이터_광고'!$E$2:$E$500,'데이터_광고'!$A$2:$A$500,$A26,'데이터_광고'!$B$2:$B$500,$B26,'데이터_광고'!$J$2:$J$500,"행사")</f>
        <v/>
      </c>
      <c r="F26" s="7">
        <f>SUMIFS('데이터_광고'!$I$2:$I$500,'데이터_광고'!$A$2:$A$500,$A26,'데이터_광고'!$B$2:$B$500,$B26,'데이터_광고'!$J$2:$J$500,"행사")</f>
        <v/>
      </c>
      <c r="G26" s="7">
        <f>$B$8*SUMIFS('점검'!$D$14:$D$14,'점검'!$A$14:$A$14,$A26,'점검'!$B$14:$B$14,$B26)</f>
        <v/>
      </c>
      <c r="H26" s="7">
        <f>$B$8*SUMIFS('점검'!$E$14:$E$14,'점검'!$A$14:$A$14,$A26,'점검'!$B$14:$B$14,$B26)</f>
        <v/>
      </c>
      <c r="I26" s="16">
        <f>IF(C26-G26&gt;0,(D26-H26)/(C26-G26),IF(E26&gt;0,F26/E26,0))</f>
        <v/>
      </c>
      <c r="J26" s="16">
        <f>IF(E26&gt;0,F26/E26,I26)</f>
        <v/>
      </c>
      <c r="K26" s="22">
        <f>SUMIFS('가정'!$D$16:$D$27,'가정'!$A$16:$A$27,$A26,'가정'!$B$16:$B$27,$B26)</f>
        <v/>
      </c>
      <c r="L26" s="16">
        <f>($B$6*$J26+('가정'!$B$10-$B$6)*$I26)/'가정'!$B$10</f>
        <v/>
      </c>
      <c r="M26" s="16">
        <f>($C$6*$J26+('가정'!$B$10-$C$6)*$I26)/'가정'!$B$10</f>
        <v/>
      </c>
      <c r="N26" s="16">
        <f>($D$6*$J26+('가정'!$B$10-$D$6)*$I26)/'가정'!$B$10</f>
        <v/>
      </c>
      <c r="O26" s="22">
        <f>$K26*L26</f>
        <v/>
      </c>
      <c r="P26" s="22">
        <f>$K26*M26</f>
        <v/>
      </c>
      <c r="Q26" s="22">
        <f>$K26*N26</f>
        <v/>
      </c>
    </row>
    <row r="27">
      <c r="A27" s="11" t="inlineStr">
        <is>
          <t>로지오가닉</t>
        </is>
      </c>
      <c r="B27" s="11" t="inlineStr">
        <is>
          <t>합계</t>
        </is>
      </c>
      <c r="C27" s="35" t="inlineStr"/>
      <c r="D27" s="35" t="inlineStr"/>
      <c r="E27" s="35" t="inlineStr"/>
      <c r="F27" s="35" t="inlineStr"/>
      <c r="G27" s="35" t="inlineStr"/>
      <c r="H27" s="35" t="inlineStr"/>
      <c r="I27" s="35" t="inlineStr"/>
      <c r="J27" s="35" t="inlineStr"/>
      <c r="K27" s="26">
        <f>SUM(K20:K26)</f>
        <v/>
      </c>
      <c r="L27" s="13">
        <f>IF($K27=0,0,O27/$K27)</f>
        <v/>
      </c>
      <c r="M27" s="13">
        <f>IF($K27=0,0,P27/$K27)</f>
        <v/>
      </c>
      <c r="N27" s="13">
        <f>IF($K27=0,0,Q27/$K27)</f>
        <v/>
      </c>
      <c r="O27" s="26">
        <f>SUM(O20:O26)</f>
        <v/>
      </c>
      <c r="P27" s="26">
        <f>SUM(P20:P26)</f>
        <v/>
      </c>
      <c r="Q27" s="26">
        <f>SUM(Q20:Q26)</f>
        <v/>
      </c>
    </row>
    <row r="29">
      <c r="A29" s="42" t="inlineStr">
        <is>
          <t>KPI ROAS 하한 대비 판정</t>
        </is>
      </c>
      <c r="L29" s="63" t="inlineStr">
        <is>
          <t>보수</t>
        </is>
      </c>
      <c r="M29" s="63" t="inlineStr">
        <is>
          <t>기준</t>
        </is>
      </c>
      <c r="N29" s="63" t="inlineStr">
        <is>
          <t>도전</t>
        </is>
      </c>
      <c r="O29" s="63" t="inlineStr">
        <is>
          <t>필요 행사일수</t>
        </is>
      </c>
    </row>
    <row r="30">
      <c r="A30" s="15" t="inlineStr">
        <is>
          <t>아넬라</t>
        </is>
      </c>
      <c r="B30" s="9">
        <f>'가정'!B42</f>
        <v/>
      </c>
      <c r="C30" s="21" t="inlineStr">
        <is>
          <t>하한</t>
        </is>
      </c>
      <c r="L30" s="10">
        <f>IF(L19&gt;=$B30,"달성","미달")</f>
        <v/>
      </c>
      <c r="M30" s="10">
        <f>IF(M19&gt;=$B30,"달성","미달")</f>
        <v/>
      </c>
      <c r="N30" s="10">
        <f>IF(N19&gt;=$B30,"달성","미달")</f>
        <v/>
      </c>
      <c r="O30" s="64">
        <f>IF(SUMPRODUCT(K12:K18,J12:J18-I12:I18)=0,0,($B30*K19-SUMPRODUCT(K12:K18,I12:I18))*'가정'!$B$10/SUMPRODUCT(K12:K18,J12:J18-I12:I18))</f>
        <v/>
      </c>
      <c r="P30" s="21" t="inlineStr">
        <is>
          <t>← 하한 달성에 필요한 행사일수(현재 예산 기준)</t>
        </is>
      </c>
    </row>
    <row r="31">
      <c r="A31" s="15" t="inlineStr">
        <is>
          <t>로지오가닉</t>
        </is>
      </c>
      <c r="B31" s="9">
        <f>'가정'!C42</f>
        <v/>
      </c>
      <c r="C31" s="21" t="inlineStr">
        <is>
          <t>하한</t>
        </is>
      </c>
      <c r="L31" s="10">
        <f>IF(L27&gt;=$B31,"달성","미달")</f>
        <v/>
      </c>
      <c r="M31" s="10">
        <f>IF(M27&gt;=$B31,"달성","미달")</f>
        <v/>
      </c>
      <c r="N31" s="10">
        <f>IF(N27&gt;=$B31,"달성","미달")</f>
        <v/>
      </c>
      <c r="O31" s="64">
        <f>IF(SUMPRODUCT(K20:K26,J20:J26-I20:I26)=0,0,($B31*K27-SUMPRODUCT(K20:K26,I20:I26))*'가정'!$B$10/SUMPRODUCT(K20:K26,J20:J26-I20:I26))</f>
        <v/>
      </c>
      <c r="P31" s="21" t="inlineStr">
        <is>
          <t>← 하한 달성에 필요한 행사일수(현재 예산 기준)</t>
        </is>
      </c>
    </row>
    <row r="34">
      <c r="A34" s="3" t="inlineStr">
        <is>
          <t>12월 매체별 목표</t>
        </is>
      </c>
    </row>
    <row r="35" ht="44" customHeight="1">
      <c r="A35" s="5" t="inlineStr">
        <is>
          <t>브랜드</t>
        </is>
      </c>
      <c r="B35" s="5" t="inlineStr">
        <is>
          <t>매체</t>
        </is>
      </c>
      <c r="C35" s="5" t="inlineStr">
        <is>
          <t>10월 상시 광고비(원)</t>
        </is>
      </c>
      <c r="D35" s="5" t="inlineStr">
        <is>
          <t>10월 상시 매출(원)</t>
        </is>
      </c>
      <c r="E35" s="5" t="inlineStr">
        <is>
          <t>10월 행사 광고비(원)</t>
        </is>
      </c>
      <c r="F35" s="5" t="inlineStr">
        <is>
          <t>10월 행사 매출(원)</t>
        </is>
      </c>
      <c r="G35" s="5" t="inlineStr">
        <is>
          <t>보정 광고비(원)</t>
        </is>
      </c>
      <c r="H35" s="5" t="inlineStr">
        <is>
          <t>보정 매출(원)</t>
        </is>
      </c>
      <c r="I35" s="5" t="inlineStr">
        <is>
          <t>상시 ROAS</t>
        </is>
      </c>
      <c r="J35" s="5" t="inlineStr">
        <is>
          <t>행사 ROAS</t>
        </is>
      </c>
      <c r="K35" s="5" t="inlineStr">
        <is>
          <t>12월 광고비(만원)</t>
        </is>
      </c>
      <c r="L35" s="5" t="inlineStr">
        <is>
          <t>목표 ROAS 보수</t>
        </is>
      </c>
      <c r="M35" s="5" t="inlineStr">
        <is>
          <t>목표 ROAS 기준</t>
        </is>
      </c>
      <c r="N35" s="5" t="inlineStr">
        <is>
          <t>목표 ROAS 도전</t>
        </is>
      </c>
      <c r="O35" s="5" t="inlineStr">
        <is>
          <t>목표 매출 보수(만원)</t>
        </is>
      </c>
      <c r="P35" s="5" t="inlineStr">
        <is>
          <t>목표 매출 기준(만원)</t>
        </is>
      </c>
      <c r="Q35" s="5" t="inlineStr">
        <is>
          <t>목표 매출 도전(만원)</t>
        </is>
      </c>
    </row>
    <row r="36">
      <c r="A36" s="15" t="inlineStr">
        <is>
          <t>아넬라</t>
        </is>
      </c>
      <c r="B36" s="15" t="inlineStr">
        <is>
          <t>파워링크</t>
        </is>
      </c>
      <c r="C36" s="7">
        <f>SUMIFS('데이터_광고'!$E$2:$E$500,'데이터_광고'!$A$2:$A$500,$A36,'데이터_광고'!$B$2:$B$500,$B36,'데이터_광고'!$J$2:$J$500,"상시")</f>
        <v/>
      </c>
      <c r="D36" s="7">
        <f>SUMIFS('데이터_광고'!$I$2:$I$500,'데이터_광고'!$A$2:$A$500,$A36,'데이터_광고'!$B$2:$B$500,$B36,'데이터_광고'!$J$2:$J$500,"상시")</f>
        <v/>
      </c>
      <c r="E36" s="7">
        <f>SUMIFS('데이터_광고'!$E$2:$E$500,'데이터_광고'!$A$2:$A$500,$A36,'데이터_광고'!$B$2:$B$500,$B36,'데이터_광고'!$J$2:$J$500,"행사")</f>
        <v/>
      </c>
      <c r="F36" s="7">
        <f>SUMIFS('데이터_광고'!$I$2:$I$500,'데이터_광고'!$A$2:$A$500,$A36,'데이터_광고'!$B$2:$B$500,$B36,'데이터_광고'!$J$2:$J$500,"행사")</f>
        <v/>
      </c>
      <c r="G36" s="7">
        <f>$B$8*SUMIFS('점검'!$D$14:$D$14,'점검'!$A$14:$A$14,$A36,'점검'!$B$14:$B$14,$B36)</f>
        <v/>
      </c>
      <c r="H36" s="7">
        <f>$B$8*SUMIFS('점검'!$E$14:$E$14,'점검'!$A$14:$A$14,$A36,'점검'!$B$14:$B$14,$B36)</f>
        <v/>
      </c>
      <c r="I36" s="16">
        <f>IF(C36-G36&gt;0,(D36-H36)/(C36-G36),IF(E36&gt;0,F36/E36,0))</f>
        <v/>
      </c>
      <c r="J36" s="16">
        <f>IF(E36&gt;0,F36/E36,I36)</f>
        <v/>
      </c>
      <c r="K36" s="22">
        <f>SUMIFS('가정'!$E$16:$E$27,'가정'!$A$16:$A$27,$A36,'가정'!$B$16:$B$27,$B36)</f>
        <v/>
      </c>
      <c r="L36" s="16">
        <f>($B$7*$J36+('가정'!$B$11-$B$7)*$I36)/'가정'!$B$11</f>
        <v/>
      </c>
      <c r="M36" s="16">
        <f>($C$7*$J36+('가정'!$B$11-$C$7)*$I36)/'가정'!$B$11</f>
        <v/>
      </c>
      <c r="N36" s="16">
        <f>($D$7*$J36+('가정'!$B$11-$D$7)*$I36)/'가정'!$B$11</f>
        <v/>
      </c>
      <c r="O36" s="22">
        <f>$K36*L36</f>
        <v/>
      </c>
      <c r="P36" s="22">
        <f>$K36*M36</f>
        <v/>
      </c>
      <c r="Q36" s="22">
        <f>$K36*N36</f>
        <v/>
      </c>
    </row>
    <row r="37">
      <c r="A37" s="15" t="inlineStr">
        <is>
          <t>아넬라</t>
        </is>
      </c>
      <c r="B37" s="15" t="inlineStr">
        <is>
          <t>쇼핑검색</t>
        </is>
      </c>
      <c r="C37" s="7">
        <f>SUMIFS('데이터_광고'!$E$2:$E$500,'데이터_광고'!$A$2:$A$500,$A37,'데이터_광고'!$B$2:$B$500,$B37,'데이터_광고'!$J$2:$J$500,"상시")</f>
        <v/>
      </c>
      <c r="D37" s="7">
        <f>SUMIFS('데이터_광고'!$I$2:$I$500,'데이터_광고'!$A$2:$A$500,$A37,'데이터_광고'!$B$2:$B$500,$B37,'데이터_광고'!$J$2:$J$500,"상시")</f>
        <v/>
      </c>
      <c r="E37" s="7">
        <f>SUMIFS('데이터_광고'!$E$2:$E$500,'데이터_광고'!$A$2:$A$500,$A37,'데이터_광고'!$B$2:$B$500,$B37,'데이터_광고'!$J$2:$J$500,"행사")</f>
        <v/>
      </c>
      <c r="F37" s="7">
        <f>SUMIFS('데이터_광고'!$I$2:$I$500,'데이터_광고'!$A$2:$A$500,$A37,'데이터_광고'!$B$2:$B$500,$B37,'데이터_광고'!$J$2:$J$500,"행사")</f>
        <v/>
      </c>
      <c r="G37" s="7">
        <f>$B$8*SUMIFS('점검'!$D$14:$D$14,'점검'!$A$14:$A$14,$A37,'점검'!$B$14:$B$14,$B37)</f>
        <v/>
      </c>
      <c r="H37" s="7">
        <f>$B$8*SUMIFS('점검'!$E$14:$E$14,'점검'!$A$14:$A$14,$A37,'점검'!$B$14:$B$14,$B37)</f>
        <v/>
      </c>
      <c r="I37" s="16">
        <f>IF(C37-G37&gt;0,(D37-H37)/(C37-G37),IF(E37&gt;0,F37/E37,0))</f>
        <v/>
      </c>
      <c r="J37" s="16">
        <f>IF(E37&gt;0,F37/E37,I37)</f>
        <v/>
      </c>
      <c r="K37" s="22">
        <f>SUMIFS('가정'!$E$16:$E$27,'가정'!$A$16:$A$27,$A37,'가정'!$B$16:$B$27,$B37)</f>
        <v/>
      </c>
      <c r="L37" s="16">
        <f>($B$7*$J37+('가정'!$B$11-$B$7)*$I37)/'가정'!$B$11</f>
        <v/>
      </c>
      <c r="M37" s="16">
        <f>($C$7*$J37+('가정'!$B$11-$C$7)*$I37)/'가정'!$B$11</f>
        <v/>
      </c>
      <c r="N37" s="16">
        <f>($D$7*$J37+('가정'!$B$11-$D$7)*$I37)/'가정'!$B$11</f>
        <v/>
      </c>
      <c r="O37" s="22">
        <f>$K37*L37</f>
        <v/>
      </c>
      <c r="P37" s="22">
        <f>$K37*M37</f>
        <v/>
      </c>
      <c r="Q37" s="22">
        <f>$K37*N37</f>
        <v/>
      </c>
    </row>
    <row r="38">
      <c r="A38" s="15" t="inlineStr">
        <is>
          <t>아넬라</t>
        </is>
      </c>
      <c r="B38" s="15" t="inlineStr">
        <is>
          <t>브랜드검색</t>
        </is>
      </c>
      <c r="C38" s="7">
        <f>SUMIFS('데이터_광고'!$E$2:$E$500,'데이터_광고'!$A$2:$A$500,$A38,'데이터_광고'!$B$2:$B$500,$B38,'데이터_광고'!$J$2:$J$500,"상시")</f>
        <v/>
      </c>
      <c r="D38" s="7">
        <f>SUMIFS('데이터_광고'!$I$2:$I$500,'데이터_광고'!$A$2:$A$500,$A38,'데이터_광고'!$B$2:$B$500,$B38,'데이터_광고'!$J$2:$J$500,"상시")</f>
        <v/>
      </c>
      <c r="E38" s="7">
        <f>SUMIFS('데이터_광고'!$E$2:$E$500,'데이터_광고'!$A$2:$A$500,$A38,'데이터_광고'!$B$2:$B$500,$B38,'데이터_광고'!$J$2:$J$500,"행사")</f>
        <v/>
      </c>
      <c r="F38" s="7">
        <f>SUMIFS('데이터_광고'!$I$2:$I$500,'데이터_광고'!$A$2:$A$500,$A38,'데이터_광고'!$B$2:$B$500,$B38,'데이터_광고'!$J$2:$J$500,"행사")</f>
        <v/>
      </c>
      <c r="G38" s="7">
        <f>$B$8*SUMIFS('점검'!$D$14:$D$14,'점검'!$A$14:$A$14,$A38,'점검'!$B$14:$B$14,$B38)</f>
        <v/>
      </c>
      <c r="H38" s="7">
        <f>$B$8*SUMIFS('점검'!$E$14:$E$14,'점검'!$A$14:$A$14,$A38,'점검'!$B$14:$B$14,$B38)</f>
        <v/>
      </c>
      <c r="I38" s="16">
        <f>IF(C38-G38&gt;0,(D38-H38)/(C38-G38),IF(E38&gt;0,F38/E38,0))</f>
        <v/>
      </c>
      <c r="J38" s="16">
        <f>IF(E38&gt;0,F38/E38,I38)</f>
        <v/>
      </c>
      <c r="K38" s="22">
        <f>'가정'!$B$38*'가정'!$B$11/10000</f>
        <v/>
      </c>
      <c r="L38" s="16">
        <f>($B$7*$J38+('가정'!$B$11-$B$7)*$I38)/'가정'!$B$11</f>
        <v/>
      </c>
      <c r="M38" s="16">
        <f>($C$7*$J38+('가정'!$B$11-$C$7)*$I38)/'가정'!$B$11</f>
        <v/>
      </c>
      <c r="N38" s="16">
        <f>($D$7*$J38+('가정'!$B$11-$D$7)*$I38)/'가정'!$B$11</f>
        <v/>
      </c>
      <c r="O38" s="22">
        <f>$K38*L38</f>
        <v/>
      </c>
      <c r="P38" s="22">
        <f>$K38*M38</f>
        <v/>
      </c>
      <c r="Q38" s="22">
        <f>$K38*N38</f>
        <v/>
      </c>
    </row>
    <row r="39">
      <c r="A39" s="15" t="inlineStr">
        <is>
          <t>아넬라</t>
        </is>
      </c>
      <c r="B39" s="15" t="inlineStr">
        <is>
          <t>GFA 카탈로그</t>
        </is>
      </c>
      <c r="C39" s="7">
        <f>SUMIFS('데이터_광고'!$E$2:$E$500,'데이터_광고'!$A$2:$A$500,$A39,'데이터_광고'!$B$2:$B$500,$B39,'데이터_광고'!$J$2:$J$500,"상시")</f>
        <v/>
      </c>
      <c r="D39" s="7">
        <f>SUMIFS('데이터_광고'!$I$2:$I$500,'데이터_광고'!$A$2:$A$500,$A39,'데이터_광고'!$B$2:$B$500,$B39,'데이터_광고'!$J$2:$J$500,"상시")</f>
        <v/>
      </c>
      <c r="E39" s="7">
        <f>SUMIFS('데이터_광고'!$E$2:$E$500,'데이터_광고'!$A$2:$A$500,$A39,'데이터_광고'!$B$2:$B$500,$B39,'데이터_광고'!$J$2:$J$500,"행사")</f>
        <v/>
      </c>
      <c r="F39" s="7">
        <f>SUMIFS('데이터_광고'!$I$2:$I$500,'데이터_광고'!$A$2:$A$500,$A39,'데이터_광고'!$B$2:$B$500,$B39,'데이터_광고'!$J$2:$J$500,"행사")</f>
        <v/>
      </c>
      <c r="G39" s="7">
        <f>$B$8*SUMIFS('점검'!$D$14:$D$14,'점검'!$A$14:$A$14,$A39,'점검'!$B$14:$B$14,$B39)</f>
        <v/>
      </c>
      <c r="H39" s="7">
        <f>$B$8*SUMIFS('점검'!$E$14:$E$14,'점검'!$A$14:$A$14,$A39,'점검'!$B$14:$B$14,$B39)</f>
        <v/>
      </c>
      <c r="I39" s="16">
        <f>IF(C39-G39&gt;0,(D39-H39)/(C39-G39),IF(E39&gt;0,F39/E39,0))</f>
        <v/>
      </c>
      <c r="J39" s="16">
        <f>IF(E39&gt;0,F39/E39,I39)</f>
        <v/>
      </c>
      <c r="K39" s="22">
        <f>SUMIFS('가정'!$E$16:$E$27,'가정'!$A$16:$A$27,$A39,'가정'!$B$16:$B$27,$B39)</f>
        <v/>
      </c>
      <c r="L39" s="16">
        <f>($B$7*$J39+('가정'!$B$11-$B$7)*$I39)/'가정'!$B$11</f>
        <v/>
      </c>
      <c r="M39" s="16">
        <f>($C$7*$J39+('가정'!$B$11-$C$7)*$I39)/'가정'!$B$11</f>
        <v/>
      </c>
      <c r="N39" s="16">
        <f>($D$7*$J39+('가정'!$B$11-$D$7)*$I39)/'가정'!$B$11</f>
        <v/>
      </c>
      <c r="O39" s="22">
        <f>$K39*L39</f>
        <v/>
      </c>
      <c r="P39" s="22">
        <f>$K39*M39</f>
        <v/>
      </c>
      <c r="Q39" s="22">
        <f>$K39*N39</f>
        <v/>
      </c>
    </row>
    <row r="40">
      <c r="A40" s="15" t="inlineStr">
        <is>
          <t>아넬라</t>
        </is>
      </c>
      <c r="B40" s="15" t="inlineStr">
        <is>
          <t>GFA 전환</t>
        </is>
      </c>
      <c r="C40" s="7">
        <f>SUMIFS('데이터_광고'!$E$2:$E$500,'데이터_광고'!$A$2:$A$500,$A40,'데이터_광고'!$B$2:$B$500,$B40,'데이터_광고'!$J$2:$J$500,"상시")</f>
        <v/>
      </c>
      <c r="D40" s="7">
        <f>SUMIFS('데이터_광고'!$I$2:$I$500,'데이터_광고'!$A$2:$A$500,$A40,'데이터_광고'!$B$2:$B$500,$B40,'데이터_광고'!$J$2:$J$500,"상시")</f>
        <v/>
      </c>
      <c r="E40" s="7">
        <f>SUMIFS('데이터_광고'!$E$2:$E$500,'데이터_광고'!$A$2:$A$500,$A40,'데이터_광고'!$B$2:$B$500,$B40,'데이터_광고'!$J$2:$J$500,"행사")</f>
        <v/>
      </c>
      <c r="F40" s="7">
        <f>SUMIFS('데이터_광고'!$I$2:$I$500,'데이터_광고'!$A$2:$A$500,$A40,'데이터_광고'!$B$2:$B$500,$B40,'데이터_광고'!$J$2:$J$500,"행사")</f>
        <v/>
      </c>
      <c r="G40" s="7">
        <f>$B$8*SUMIFS('점검'!$D$14:$D$14,'점검'!$A$14:$A$14,$A40,'점검'!$B$14:$B$14,$B40)</f>
        <v/>
      </c>
      <c r="H40" s="7">
        <f>$B$8*SUMIFS('점검'!$E$14:$E$14,'점검'!$A$14:$A$14,$A40,'점검'!$B$14:$B$14,$B40)</f>
        <v/>
      </c>
      <c r="I40" s="16">
        <f>IF(C40-G40&gt;0,(D40-H40)/(C40-G40),IF(E40&gt;0,F40/E40,0))</f>
        <v/>
      </c>
      <c r="J40" s="16">
        <f>IF(E40&gt;0,F40/E40,I40)</f>
        <v/>
      </c>
      <c r="K40" s="22">
        <f>SUMIFS('가정'!$E$16:$E$27,'가정'!$A$16:$A$27,$A40,'가정'!$B$16:$B$27,$B40)</f>
        <v/>
      </c>
      <c r="L40" s="16">
        <f>($B$7*$J40+('가정'!$B$11-$B$7)*$I40)/'가정'!$B$11</f>
        <v/>
      </c>
      <c r="M40" s="16">
        <f>($C$7*$J40+('가정'!$B$11-$C$7)*$I40)/'가정'!$B$11</f>
        <v/>
      </c>
      <c r="N40" s="16">
        <f>($D$7*$J40+('가정'!$B$11-$D$7)*$I40)/'가정'!$B$11</f>
        <v/>
      </c>
      <c r="O40" s="22">
        <f>$K40*L40</f>
        <v/>
      </c>
      <c r="P40" s="22">
        <f>$K40*M40</f>
        <v/>
      </c>
      <c r="Q40" s="22">
        <f>$K40*N40</f>
        <v/>
      </c>
    </row>
    <row r="41">
      <c r="A41" s="15" t="inlineStr">
        <is>
          <t>아넬라</t>
        </is>
      </c>
      <c r="B41" s="15" t="inlineStr">
        <is>
          <t>메타 스스</t>
        </is>
      </c>
      <c r="C41" s="7">
        <f>SUMIFS('데이터_광고'!$E$2:$E$500,'데이터_광고'!$A$2:$A$500,$A41,'데이터_광고'!$B$2:$B$500,$B41,'데이터_광고'!$J$2:$J$500,"상시")</f>
        <v/>
      </c>
      <c r="D41" s="7">
        <f>SUMIFS('데이터_광고'!$I$2:$I$500,'데이터_광고'!$A$2:$A$500,$A41,'데이터_광고'!$B$2:$B$500,$B41,'데이터_광고'!$J$2:$J$500,"상시")</f>
        <v/>
      </c>
      <c r="E41" s="7">
        <f>SUMIFS('데이터_광고'!$E$2:$E$500,'데이터_광고'!$A$2:$A$500,$A41,'데이터_광고'!$B$2:$B$500,$B41,'데이터_광고'!$J$2:$J$500,"행사")</f>
        <v/>
      </c>
      <c r="F41" s="7">
        <f>SUMIFS('데이터_광고'!$I$2:$I$500,'데이터_광고'!$A$2:$A$500,$A41,'데이터_광고'!$B$2:$B$500,$B41,'데이터_광고'!$J$2:$J$500,"행사")</f>
        <v/>
      </c>
      <c r="G41" s="7">
        <f>$B$8*SUMIFS('점검'!$D$14:$D$14,'점검'!$A$14:$A$14,$A41,'점검'!$B$14:$B$14,$B41)</f>
        <v/>
      </c>
      <c r="H41" s="7">
        <f>$B$8*SUMIFS('점검'!$E$14:$E$14,'점검'!$A$14:$A$14,$A41,'점검'!$B$14:$B$14,$B41)</f>
        <v/>
      </c>
      <c r="I41" s="16">
        <f>IF(C41-G41&gt;0,(D41-H41)/(C41-G41),IF(E41&gt;0,F41/E41,0))</f>
        <v/>
      </c>
      <c r="J41" s="16">
        <f>IF(E41&gt;0,F41/E41,I41)</f>
        <v/>
      </c>
      <c r="K41" s="22">
        <f>SUMIFS('가정'!$E$16:$E$27,'가정'!$A$16:$A$27,$A41,'가정'!$B$16:$B$27,$B41)</f>
        <v/>
      </c>
      <c r="L41" s="16">
        <f>($B$7*$J41+('가정'!$B$11-$B$7)*$I41)/'가정'!$B$11</f>
        <v/>
      </c>
      <c r="M41" s="16">
        <f>($C$7*$J41+('가정'!$B$11-$C$7)*$I41)/'가정'!$B$11</f>
        <v/>
      </c>
      <c r="N41" s="16">
        <f>($D$7*$J41+('가정'!$B$11-$D$7)*$I41)/'가정'!$B$11</f>
        <v/>
      </c>
      <c r="O41" s="22">
        <f>$K41*L41</f>
        <v/>
      </c>
      <c r="P41" s="22">
        <f>$K41*M41</f>
        <v/>
      </c>
      <c r="Q41" s="22">
        <f>$K41*N41</f>
        <v/>
      </c>
    </row>
    <row r="42">
      <c r="A42" s="15" t="inlineStr">
        <is>
          <t>아넬라</t>
        </is>
      </c>
      <c r="B42" s="15" t="inlineStr">
        <is>
          <t>메타 자사몰</t>
        </is>
      </c>
      <c r="C42" s="7">
        <f>SUMIFS('데이터_광고'!$E$2:$E$500,'데이터_광고'!$A$2:$A$500,$A42,'데이터_광고'!$B$2:$B$500,$B42,'데이터_광고'!$J$2:$J$500,"상시")</f>
        <v/>
      </c>
      <c r="D42" s="7">
        <f>SUMIFS('데이터_광고'!$I$2:$I$500,'데이터_광고'!$A$2:$A$500,$A42,'데이터_광고'!$B$2:$B$500,$B42,'데이터_광고'!$J$2:$J$500,"상시")</f>
        <v/>
      </c>
      <c r="E42" s="7">
        <f>SUMIFS('데이터_광고'!$E$2:$E$500,'데이터_광고'!$A$2:$A$500,$A42,'데이터_광고'!$B$2:$B$500,$B42,'데이터_광고'!$J$2:$J$500,"행사")</f>
        <v/>
      </c>
      <c r="F42" s="7">
        <f>SUMIFS('데이터_광고'!$I$2:$I$500,'데이터_광고'!$A$2:$A$500,$A42,'데이터_광고'!$B$2:$B$500,$B42,'데이터_광고'!$J$2:$J$500,"행사")</f>
        <v/>
      </c>
      <c r="G42" s="7">
        <f>$B$8*SUMIFS('점검'!$D$14:$D$14,'점검'!$A$14:$A$14,$A42,'점검'!$B$14:$B$14,$B42)</f>
        <v/>
      </c>
      <c r="H42" s="7">
        <f>$B$8*SUMIFS('점검'!$E$14:$E$14,'점검'!$A$14:$A$14,$A42,'점검'!$B$14:$B$14,$B42)</f>
        <v/>
      </c>
      <c r="I42" s="16">
        <f>IF(C42-G42&gt;0,(D42-H42)/(C42-G42),IF(E42&gt;0,F42/E42,0))</f>
        <v/>
      </c>
      <c r="J42" s="16">
        <f>IF(E42&gt;0,F42/E42,I42)</f>
        <v/>
      </c>
      <c r="K42" s="22">
        <f>SUMIFS('가정'!$E$16:$E$27,'가정'!$A$16:$A$27,$A42,'가정'!$B$16:$B$27,$B42)</f>
        <v/>
      </c>
      <c r="L42" s="16">
        <f>($B$7*$J42+('가정'!$B$11-$B$7)*$I42)/'가정'!$B$11</f>
        <v/>
      </c>
      <c r="M42" s="16">
        <f>($C$7*$J42+('가정'!$B$11-$C$7)*$I42)/'가정'!$B$11</f>
        <v/>
      </c>
      <c r="N42" s="16">
        <f>($D$7*$J42+('가정'!$B$11-$D$7)*$I42)/'가정'!$B$11</f>
        <v/>
      </c>
      <c r="O42" s="22">
        <f>$K42*L42</f>
        <v/>
      </c>
      <c r="P42" s="22">
        <f>$K42*M42</f>
        <v/>
      </c>
      <c r="Q42" s="22">
        <f>$K42*N42</f>
        <v/>
      </c>
    </row>
    <row r="43">
      <c r="A43" s="11" t="inlineStr">
        <is>
          <t>아넬라</t>
        </is>
      </c>
      <c r="B43" s="11" t="inlineStr">
        <is>
          <t>합계</t>
        </is>
      </c>
      <c r="C43" s="35" t="inlineStr"/>
      <c r="D43" s="35" t="inlineStr"/>
      <c r="E43" s="35" t="inlineStr"/>
      <c r="F43" s="35" t="inlineStr"/>
      <c r="G43" s="35" t="inlineStr"/>
      <c r="H43" s="35" t="inlineStr"/>
      <c r="I43" s="35" t="inlineStr"/>
      <c r="J43" s="35" t="inlineStr"/>
      <c r="K43" s="26">
        <f>SUM(K36:K42)</f>
        <v/>
      </c>
      <c r="L43" s="13">
        <f>IF($K43=0,0,O43/$K43)</f>
        <v/>
      </c>
      <c r="M43" s="13">
        <f>IF($K43=0,0,P43/$K43)</f>
        <v/>
      </c>
      <c r="N43" s="13">
        <f>IF($K43=0,0,Q43/$K43)</f>
        <v/>
      </c>
      <c r="O43" s="26">
        <f>SUM(O36:O42)</f>
        <v/>
      </c>
      <c r="P43" s="26">
        <f>SUM(P36:P42)</f>
        <v/>
      </c>
      <c r="Q43" s="26">
        <f>SUM(Q36:Q42)</f>
        <v/>
      </c>
    </row>
    <row r="44">
      <c r="A44" s="15" t="inlineStr">
        <is>
          <t>로지오가닉</t>
        </is>
      </c>
      <c r="B44" s="15" t="inlineStr">
        <is>
          <t>파워링크</t>
        </is>
      </c>
      <c r="C44" s="7">
        <f>SUMIFS('데이터_광고'!$E$2:$E$500,'데이터_광고'!$A$2:$A$500,$A44,'데이터_광고'!$B$2:$B$500,$B44,'데이터_광고'!$J$2:$J$500,"상시")</f>
        <v/>
      </c>
      <c r="D44" s="7">
        <f>SUMIFS('데이터_광고'!$I$2:$I$500,'데이터_광고'!$A$2:$A$500,$A44,'데이터_광고'!$B$2:$B$500,$B44,'데이터_광고'!$J$2:$J$500,"상시")</f>
        <v/>
      </c>
      <c r="E44" s="7">
        <f>SUMIFS('데이터_광고'!$E$2:$E$500,'데이터_광고'!$A$2:$A$500,$A44,'데이터_광고'!$B$2:$B$500,$B44,'데이터_광고'!$J$2:$J$500,"행사")</f>
        <v/>
      </c>
      <c r="F44" s="7">
        <f>SUMIFS('데이터_광고'!$I$2:$I$500,'데이터_광고'!$A$2:$A$500,$A44,'데이터_광고'!$B$2:$B$500,$B44,'데이터_광고'!$J$2:$J$500,"행사")</f>
        <v/>
      </c>
      <c r="G44" s="7">
        <f>$B$8*SUMIFS('점검'!$D$14:$D$14,'점검'!$A$14:$A$14,$A44,'점검'!$B$14:$B$14,$B44)</f>
        <v/>
      </c>
      <c r="H44" s="7">
        <f>$B$8*SUMIFS('점검'!$E$14:$E$14,'점검'!$A$14:$A$14,$A44,'점검'!$B$14:$B$14,$B44)</f>
        <v/>
      </c>
      <c r="I44" s="16">
        <f>IF(C44-G44&gt;0,(D44-H44)/(C44-G44),IF(E44&gt;0,F44/E44,0))</f>
        <v/>
      </c>
      <c r="J44" s="16">
        <f>IF(E44&gt;0,F44/E44,I44)</f>
        <v/>
      </c>
      <c r="K44" s="22">
        <f>SUMIFS('가정'!$E$16:$E$27,'가정'!$A$16:$A$27,$A44,'가정'!$B$16:$B$27,$B44)</f>
        <v/>
      </c>
      <c r="L44" s="16">
        <f>($B$7*$J44+('가정'!$B$11-$B$7)*$I44)/'가정'!$B$11</f>
        <v/>
      </c>
      <c r="M44" s="16">
        <f>($C$7*$J44+('가정'!$B$11-$C$7)*$I44)/'가정'!$B$11</f>
        <v/>
      </c>
      <c r="N44" s="16">
        <f>($D$7*$J44+('가정'!$B$11-$D$7)*$I44)/'가정'!$B$11</f>
        <v/>
      </c>
      <c r="O44" s="22">
        <f>$K44*L44</f>
        <v/>
      </c>
      <c r="P44" s="22">
        <f>$K44*M44</f>
        <v/>
      </c>
      <c r="Q44" s="22">
        <f>$K44*N44</f>
        <v/>
      </c>
    </row>
    <row r="45">
      <c r="A45" s="15" t="inlineStr">
        <is>
          <t>로지오가닉</t>
        </is>
      </c>
      <c r="B45" s="15" t="inlineStr">
        <is>
          <t>쇼핑검색</t>
        </is>
      </c>
      <c r="C45" s="7">
        <f>SUMIFS('데이터_광고'!$E$2:$E$500,'데이터_광고'!$A$2:$A$500,$A45,'데이터_광고'!$B$2:$B$500,$B45,'데이터_광고'!$J$2:$J$500,"상시")</f>
        <v/>
      </c>
      <c r="D45" s="7">
        <f>SUMIFS('데이터_광고'!$I$2:$I$500,'데이터_광고'!$A$2:$A$500,$A45,'데이터_광고'!$B$2:$B$500,$B45,'데이터_광고'!$J$2:$J$500,"상시")</f>
        <v/>
      </c>
      <c r="E45" s="7">
        <f>SUMIFS('데이터_광고'!$E$2:$E$500,'데이터_광고'!$A$2:$A$500,$A45,'데이터_광고'!$B$2:$B$500,$B45,'데이터_광고'!$J$2:$J$500,"행사")</f>
        <v/>
      </c>
      <c r="F45" s="7">
        <f>SUMIFS('데이터_광고'!$I$2:$I$500,'데이터_광고'!$A$2:$A$500,$A45,'데이터_광고'!$B$2:$B$500,$B45,'데이터_광고'!$J$2:$J$500,"행사")</f>
        <v/>
      </c>
      <c r="G45" s="7">
        <f>$B$8*SUMIFS('점검'!$D$14:$D$14,'점검'!$A$14:$A$14,$A45,'점검'!$B$14:$B$14,$B45)</f>
        <v/>
      </c>
      <c r="H45" s="7">
        <f>$B$8*SUMIFS('점검'!$E$14:$E$14,'점검'!$A$14:$A$14,$A45,'점검'!$B$14:$B$14,$B45)</f>
        <v/>
      </c>
      <c r="I45" s="16">
        <f>IF(C45-G45&gt;0,(D45-H45)/(C45-G45),IF(E45&gt;0,F45/E45,0))</f>
        <v/>
      </c>
      <c r="J45" s="16">
        <f>IF(E45&gt;0,F45/E45,I45)</f>
        <v/>
      </c>
      <c r="K45" s="22">
        <f>SUMIFS('가정'!$E$16:$E$27,'가정'!$A$16:$A$27,$A45,'가정'!$B$16:$B$27,$B45)</f>
        <v/>
      </c>
      <c r="L45" s="16">
        <f>($B$7*$J45+('가정'!$B$11-$B$7)*$I45)/'가정'!$B$11</f>
        <v/>
      </c>
      <c r="M45" s="16">
        <f>($C$7*$J45+('가정'!$B$11-$C$7)*$I45)/'가정'!$B$11</f>
        <v/>
      </c>
      <c r="N45" s="16">
        <f>($D$7*$J45+('가정'!$B$11-$D$7)*$I45)/'가정'!$B$11</f>
        <v/>
      </c>
      <c r="O45" s="22">
        <f>$K45*L45</f>
        <v/>
      </c>
      <c r="P45" s="22">
        <f>$K45*M45</f>
        <v/>
      </c>
      <c r="Q45" s="22">
        <f>$K45*N45</f>
        <v/>
      </c>
    </row>
    <row r="46">
      <c r="A46" s="15" t="inlineStr">
        <is>
          <t>로지오가닉</t>
        </is>
      </c>
      <c r="B46" s="15" t="inlineStr">
        <is>
          <t>브랜드검색</t>
        </is>
      </c>
      <c r="C46" s="7">
        <f>SUMIFS('데이터_광고'!$E$2:$E$500,'데이터_광고'!$A$2:$A$500,$A46,'데이터_광고'!$B$2:$B$500,$B46,'데이터_광고'!$J$2:$J$500,"상시")</f>
        <v/>
      </c>
      <c r="D46" s="7">
        <f>SUMIFS('데이터_광고'!$I$2:$I$500,'데이터_광고'!$A$2:$A$500,$A46,'데이터_광고'!$B$2:$B$500,$B46,'데이터_광고'!$J$2:$J$500,"상시")</f>
        <v/>
      </c>
      <c r="E46" s="7">
        <f>SUMIFS('데이터_광고'!$E$2:$E$500,'데이터_광고'!$A$2:$A$500,$A46,'데이터_광고'!$B$2:$B$500,$B46,'데이터_광고'!$J$2:$J$500,"행사")</f>
        <v/>
      </c>
      <c r="F46" s="7">
        <f>SUMIFS('데이터_광고'!$I$2:$I$500,'데이터_광고'!$A$2:$A$500,$A46,'데이터_광고'!$B$2:$B$500,$B46,'데이터_광고'!$J$2:$J$500,"행사")</f>
        <v/>
      </c>
      <c r="G46" s="7">
        <f>$B$8*SUMIFS('점검'!$D$14:$D$14,'점검'!$A$14:$A$14,$A46,'점검'!$B$14:$B$14,$B46)</f>
        <v/>
      </c>
      <c r="H46" s="7">
        <f>$B$8*SUMIFS('점검'!$E$14:$E$14,'점검'!$A$14:$A$14,$A46,'점검'!$B$14:$B$14,$B46)</f>
        <v/>
      </c>
      <c r="I46" s="16">
        <f>IF(C46-G46&gt;0,(D46-H46)/(C46-G46),IF(E46&gt;0,F46/E46,0))</f>
        <v/>
      </c>
      <c r="J46" s="16">
        <f>IF(E46&gt;0,F46/E46,I46)</f>
        <v/>
      </c>
      <c r="K46" s="22">
        <f>'가정'!$B$38*'가정'!$B$11/10000</f>
        <v/>
      </c>
      <c r="L46" s="16">
        <f>($B$7*$J46+('가정'!$B$11-$B$7)*$I46)/'가정'!$B$11</f>
        <v/>
      </c>
      <c r="M46" s="16">
        <f>($C$7*$J46+('가정'!$B$11-$C$7)*$I46)/'가정'!$B$11</f>
        <v/>
      </c>
      <c r="N46" s="16">
        <f>($D$7*$J46+('가정'!$B$11-$D$7)*$I46)/'가정'!$B$11</f>
        <v/>
      </c>
      <c r="O46" s="22">
        <f>$K46*L46</f>
        <v/>
      </c>
      <c r="P46" s="22">
        <f>$K46*M46</f>
        <v/>
      </c>
      <c r="Q46" s="22">
        <f>$K46*N46</f>
        <v/>
      </c>
    </row>
    <row r="47">
      <c r="A47" s="15" t="inlineStr">
        <is>
          <t>로지오가닉</t>
        </is>
      </c>
      <c r="B47" s="15" t="inlineStr">
        <is>
          <t>GFA 카탈로그</t>
        </is>
      </c>
      <c r="C47" s="7">
        <f>SUMIFS('데이터_광고'!$E$2:$E$500,'데이터_광고'!$A$2:$A$500,$A47,'데이터_광고'!$B$2:$B$500,$B47,'데이터_광고'!$J$2:$J$500,"상시")</f>
        <v/>
      </c>
      <c r="D47" s="7">
        <f>SUMIFS('데이터_광고'!$I$2:$I$500,'데이터_광고'!$A$2:$A$500,$A47,'데이터_광고'!$B$2:$B$500,$B47,'데이터_광고'!$J$2:$J$500,"상시")</f>
        <v/>
      </c>
      <c r="E47" s="7">
        <f>SUMIFS('데이터_광고'!$E$2:$E$500,'데이터_광고'!$A$2:$A$500,$A47,'데이터_광고'!$B$2:$B$500,$B47,'데이터_광고'!$J$2:$J$500,"행사")</f>
        <v/>
      </c>
      <c r="F47" s="7">
        <f>SUMIFS('데이터_광고'!$I$2:$I$500,'데이터_광고'!$A$2:$A$500,$A47,'데이터_광고'!$B$2:$B$500,$B47,'데이터_광고'!$J$2:$J$500,"행사")</f>
        <v/>
      </c>
      <c r="G47" s="7">
        <f>$B$8*SUMIFS('점검'!$D$14:$D$14,'점검'!$A$14:$A$14,$A47,'점검'!$B$14:$B$14,$B47)</f>
        <v/>
      </c>
      <c r="H47" s="7">
        <f>$B$8*SUMIFS('점검'!$E$14:$E$14,'점검'!$A$14:$A$14,$A47,'점검'!$B$14:$B$14,$B47)</f>
        <v/>
      </c>
      <c r="I47" s="16">
        <f>IF(C47-G47&gt;0,(D47-H47)/(C47-G47),IF(E47&gt;0,F47/E47,0))</f>
        <v/>
      </c>
      <c r="J47" s="16">
        <f>IF(E47&gt;0,F47/E47,I47)</f>
        <v/>
      </c>
      <c r="K47" s="22">
        <f>SUMIFS('가정'!$E$16:$E$27,'가정'!$A$16:$A$27,$A47,'가정'!$B$16:$B$27,$B47)</f>
        <v/>
      </c>
      <c r="L47" s="16">
        <f>($B$7*$J47+('가정'!$B$11-$B$7)*$I47)/'가정'!$B$11</f>
        <v/>
      </c>
      <c r="M47" s="16">
        <f>($C$7*$J47+('가정'!$B$11-$C$7)*$I47)/'가정'!$B$11</f>
        <v/>
      </c>
      <c r="N47" s="16">
        <f>($D$7*$J47+('가정'!$B$11-$D$7)*$I47)/'가정'!$B$11</f>
        <v/>
      </c>
      <c r="O47" s="22">
        <f>$K47*L47</f>
        <v/>
      </c>
      <c r="P47" s="22">
        <f>$K47*M47</f>
        <v/>
      </c>
      <c r="Q47" s="22">
        <f>$K47*N47</f>
        <v/>
      </c>
    </row>
    <row r="48">
      <c r="A48" s="15" t="inlineStr">
        <is>
          <t>로지오가닉</t>
        </is>
      </c>
      <c r="B48" s="15" t="inlineStr">
        <is>
          <t>GFA 전환</t>
        </is>
      </c>
      <c r="C48" s="7">
        <f>SUMIFS('데이터_광고'!$E$2:$E$500,'데이터_광고'!$A$2:$A$500,$A48,'데이터_광고'!$B$2:$B$500,$B48,'데이터_광고'!$J$2:$J$500,"상시")</f>
        <v/>
      </c>
      <c r="D48" s="7">
        <f>SUMIFS('데이터_광고'!$I$2:$I$500,'데이터_광고'!$A$2:$A$500,$A48,'데이터_광고'!$B$2:$B$500,$B48,'데이터_광고'!$J$2:$J$500,"상시")</f>
        <v/>
      </c>
      <c r="E48" s="7">
        <f>SUMIFS('데이터_광고'!$E$2:$E$500,'데이터_광고'!$A$2:$A$500,$A48,'데이터_광고'!$B$2:$B$500,$B48,'데이터_광고'!$J$2:$J$500,"행사")</f>
        <v/>
      </c>
      <c r="F48" s="7">
        <f>SUMIFS('데이터_광고'!$I$2:$I$500,'데이터_광고'!$A$2:$A$500,$A48,'데이터_광고'!$B$2:$B$500,$B48,'데이터_광고'!$J$2:$J$500,"행사")</f>
        <v/>
      </c>
      <c r="G48" s="7">
        <f>$B$8*SUMIFS('점검'!$D$14:$D$14,'점검'!$A$14:$A$14,$A48,'점검'!$B$14:$B$14,$B48)</f>
        <v/>
      </c>
      <c r="H48" s="7">
        <f>$B$8*SUMIFS('점검'!$E$14:$E$14,'점검'!$A$14:$A$14,$A48,'점검'!$B$14:$B$14,$B48)</f>
        <v/>
      </c>
      <c r="I48" s="16">
        <f>IF(C48-G48&gt;0,(D48-H48)/(C48-G48),IF(E48&gt;0,F48/E48,0))</f>
        <v/>
      </c>
      <c r="J48" s="16">
        <f>IF(E48&gt;0,F48/E48,I48)</f>
        <v/>
      </c>
      <c r="K48" s="22">
        <f>SUMIFS('가정'!$E$16:$E$27,'가정'!$A$16:$A$27,$A48,'가정'!$B$16:$B$27,$B48)</f>
        <v/>
      </c>
      <c r="L48" s="16">
        <f>($B$7*$J48+('가정'!$B$11-$B$7)*$I48)/'가정'!$B$11</f>
        <v/>
      </c>
      <c r="M48" s="16">
        <f>($C$7*$J48+('가정'!$B$11-$C$7)*$I48)/'가정'!$B$11</f>
        <v/>
      </c>
      <c r="N48" s="16">
        <f>($D$7*$J48+('가정'!$B$11-$D$7)*$I48)/'가정'!$B$11</f>
        <v/>
      </c>
      <c r="O48" s="22">
        <f>$K48*L48</f>
        <v/>
      </c>
      <c r="P48" s="22">
        <f>$K48*M48</f>
        <v/>
      </c>
      <c r="Q48" s="22">
        <f>$K48*N48</f>
        <v/>
      </c>
    </row>
    <row r="49">
      <c r="A49" s="15" t="inlineStr">
        <is>
          <t>로지오가닉</t>
        </is>
      </c>
      <c r="B49" s="15" t="inlineStr">
        <is>
          <t>메타 스스</t>
        </is>
      </c>
      <c r="C49" s="7">
        <f>SUMIFS('데이터_광고'!$E$2:$E$500,'데이터_광고'!$A$2:$A$500,$A49,'데이터_광고'!$B$2:$B$500,$B49,'데이터_광고'!$J$2:$J$500,"상시")</f>
        <v/>
      </c>
      <c r="D49" s="7">
        <f>SUMIFS('데이터_광고'!$I$2:$I$500,'데이터_광고'!$A$2:$A$500,$A49,'데이터_광고'!$B$2:$B$500,$B49,'데이터_광고'!$J$2:$J$500,"상시")</f>
        <v/>
      </c>
      <c r="E49" s="7">
        <f>SUMIFS('데이터_광고'!$E$2:$E$500,'데이터_광고'!$A$2:$A$500,$A49,'데이터_광고'!$B$2:$B$500,$B49,'데이터_광고'!$J$2:$J$500,"행사")</f>
        <v/>
      </c>
      <c r="F49" s="7">
        <f>SUMIFS('데이터_광고'!$I$2:$I$500,'데이터_광고'!$A$2:$A$500,$A49,'데이터_광고'!$B$2:$B$500,$B49,'데이터_광고'!$J$2:$J$500,"행사")</f>
        <v/>
      </c>
      <c r="G49" s="7">
        <f>$B$8*SUMIFS('점검'!$D$14:$D$14,'점검'!$A$14:$A$14,$A49,'점검'!$B$14:$B$14,$B49)</f>
        <v/>
      </c>
      <c r="H49" s="7">
        <f>$B$8*SUMIFS('점검'!$E$14:$E$14,'점검'!$A$14:$A$14,$A49,'점검'!$B$14:$B$14,$B49)</f>
        <v/>
      </c>
      <c r="I49" s="16">
        <f>IF(C49-G49&gt;0,(D49-H49)/(C49-G49),IF(E49&gt;0,F49/E49,0))</f>
        <v/>
      </c>
      <c r="J49" s="16">
        <f>IF(E49&gt;0,F49/E49,I49)</f>
        <v/>
      </c>
      <c r="K49" s="22">
        <f>SUMIFS('가정'!$E$16:$E$27,'가정'!$A$16:$A$27,$A49,'가정'!$B$16:$B$27,$B49)</f>
        <v/>
      </c>
      <c r="L49" s="16">
        <f>($B$7*$J49+('가정'!$B$11-$B$7)*$I49)/'가정'!$B$11</f>
        <v/>
      </c>
      <c r="M49" s="16">
        <f>($C$7*$J49+('가정'!$B$11-$C$7)*$I49)/'가정'!$B$11</f>
        <v/>
      </c>
      <c r="N49" s="16">
        <f>($D$7*$J49+('가정'!$B$11-$D$7)*$I49)/'가정'!$B$11</f>
        <v/>
      </c>
      <c r="O49" s="22">
        <f>$K49*L49</f>
        <v/>
      </c>
      <c r="P49" s="22">
        <f>$K49*M49</f>
        <v/>
      </c>
      <c r="Q49" s="22">
        <f>$K49*N49</f>
        <v/>
      </c>
    </row>
    <row r="50">
      <c r="A50" s="15" t="inlineStr">
        <is>
          <t>로지오가닉</t>
        </is>
      </c>
      <c r="B50" s="15" t="inlineStr">
        <is>
          <t>메타 자사몰</t>
        </is>
      </c>
      <c r="C50" s="7">
        <f>SUMIFS('데이터_광고'!$E$2:$E$500,'데이터_광고'!$A$2:$A$500,$A50,'데이터_광고'!$B$2:$B$500,$B50,'데이터_광고'!$J$2:$J$500,"상시")</f>
        <v/>
      </c>
      <c r="D50" s="7">
        <f>SUMIFS('데이터_광고'!$I$2:$I$500,'데이터_광고'!$A$2:$A$500,$A50,'데이터_광고'!$B$2:$B$500,$B50,'데이터_광고'!$J$2:$J$500,"상시")</f>
        <v/>
      </c>
      <c r="E50" s="7">
        <f>SUMIFS('데이터_광고'!$E$2:$E$500,'데이터_광고'!$A$2:$A$500,$A50,'데이터_광고'!$B$2:$B$500,$B50,'데이터_광고'!$J$2:$J$500,"행사")</f>
        <v/>
      </c>
      <c r="F50" s="7">
        <f>SUMIFS('데이터_광고'!$I$2:$I$500,'데이터_광고'!$A$2:$A$500,$A50,'데이터_광고'!$B$2:$B$500,$B50,'데이터_광고'!$J$2:$J$500,"행사")</f>
        <v/>
      </c>
      <c r="G50" s="7">
        <f>$B$8*SUMIFS('점검'!$D$14:$D$14,'점검'!$A$14:$A$14,$A50,'점검'!$B$14:$B$14,$B50)</f>
        <v/>
      </c>
      <c r="H50" s="7">
        <f>$B$8*SUMIFS('점검'!$E$14:$E$14,'점검'!$A$14:$A$14,$A50,'점검'!$B$14:$B$14,$B50)</f>
        <v/>
      </c>
      <c r="I50" s="16">
        <f>IF(C50-G50&gt;0,(D50-H50)/(C50-G50),IF(E50&gt;0,F50/E50,0))</f>
        <v/>
      </c>
      <c r="J50" s="16">
        <f>IF(E50&gt;0,F50/E50,I50)</f>
        <v/>
      </c>
      <c r="K50" s="22">
        <f>SUMIFS('가정'!$E$16:$E$27,'가정'!$A$16:$A$27,$A50,'가정'!$B$16:$B$27,$B50)</f>
        <v/>
      </c>
      <c r="L50" s="16">
        <f>($B$7*$J50+('가정'!$B$11-$B$7)*$I50)/'가정'!$B$11</f>
        <v/>
      </c>
      <c r="M50" s="16">
        <f>($C$7*$J50+('가정'!$B$11-$C$7)*$I50)/'가정'!$B$11</f>
        <v/>
      </c>
      <c r="N50" s="16">
        <f>($D$7*$J50+('가정'!$B$11-$D$7)*$I50)/'가정'!$B$11</f>
        <v/>
      </c>
      <c r="O50" s="22">
        <f>$K50*L50</f>
        <v/>
      </c>
      <c r="P50" s="22">
        <f>$K50*M50</f>
        <v/>
      </c>
      <c r="Q50" s="22">
        <f>$K50*N50</f>
        <v/>
      </c>
    </row>
    <row r="51">
      <c r="A51" s="11" t="inlineStr">
        <is>
          <t>로지오가닉</t>
        </is>
      </c>
      <c r="B51" s="11" t="inlineStr">
        <is>
          <t>합계</t>
        </is>
      </c>
      <c r="C51" s="35" t="inlineStr"/>
      <c r="D51" s="35" t="inlineStr"/>
      <c r="E51" s="35" t="inlineStr"/>
      <c r="F51" s="35" t="inlineStr"/>
      <c r="G51" s="35" t="inlineStr"/>
      <c r="H51" s="35" t="inlineStr"/>
      <c r="I51" s="35" t="inlineStr"/>
      <c r="J51" s="35" t="inlineStr"/>
      <c r="K51" s="26">
        <f>SUM(K44:K50)</f>
        <v/>
      </c>
      <c r="L51" s="13">
        <f>IF($K51=0,0,O51/$K51)</f>
        <v/>
      </c>
      <c r="M51" s="13">
        <f>IF($K51=0,0,P51/$K51)</f>
        <v/>
      </c>
      <c r="N51" s="13">
        <f>IF($K51=0,0,Q51/$K51)</f>
        <v/>
      </c>
      <c r="O51" s="26">
        <f>SUM(O44:O50)</f>
        <v/>
      </c>
      <c r="P51" s="26">
        <f>SUM(P44:P50)</f>
        <v/>
      </c>
      <c r="Q51" s="26">
        <f>SUM(Q44:Q50)</f>
        <v/>
      </c>
    </row>
    <row r="53">
      <c r="A53" s="42" t="inlineStr">
        <is>
          <t>KPI ROAS 하한 대비 판정</t>
        </is>
      </c>
      <c r="L53" s="63" t="inlineStr">
        <is>
          <t>보수</t>
        </is>
      </c>
      <c r="M53" s="63" t="inlineStr">
        <is>
          <t>기준</t>
        </is>
      </c>
      <c r="N53" s="63" t="inlineStr">
        <is>
          <t>도전</t>
        </is>
      </c>
      <c r="O53" s="63" t="inlineStr">
        <is>
          <t>필요 행사일수</t>
        </is>
      </c>
    </row>
    <row r="54">
      <c r="A54" s="15" t="inlineStr">
        <is>
          <t>아넬라</t>
        </is>
      </c>
      <c r="B54" s="9">
        <f>'가정'!B42</f>
        <v/>
      </c>
      <c r="C54" s="21" t="inlineStr">
        <is>
          <t>하한</t>
        </is>
      </c>
      <c r="L54" s="10">
        <f>IF(L43&gt;=$B54,"달성","미달")</f>
        <v/>
      </c>
      <c r="M54" s="10">
        <f>IF(M43&gt;=$B54,"달성","미달")</f>
        <v/>
      </c>
      <c r="N54" s="10">
        <f>IF(N43&gt;=$B54,"달성","미달")</f>
        <v/>
      </c>
      <c r="O54" s="64">
        <f>IF(SUMPRODUCT(K36:K42,J36:J42-I36:I42)=0,0,($B54*K43-SUMPRODUCT(K36:K42,I36:I42))*'가정'!$B$11/SUMPRODUCT(K36:K42,J36:J42-I36:I42))</f>
        <v/>
      </c>
      <c r="P54" s="21" t="inlineStr">
        <is>
          <t>← 하한 달성에 필요한 행사일수(현재 예산 기준)</t>
        </is>
      </c>
    </row>
    <row r="55">
      <c r="A55" s="15" t="inlineStr">
        <is>
          <t>로지오가닉</t>
        </is>
      </c>
      <c r="B55" s="9">
        <f>'가정'!C42</f>
        <v/>
      </c>
      <c r="C55" s="21" t="inlineStr">
        <is>
          <t>하한</t>
        </is>
      </c>
      <c r="L55" s="10">
        <f>IF(L51&gt;=$B55,"달성","미달")</f>
        <v/>
      </c>
      <c r="M55" s="10">
        <f>IF(M51&gt;=$B55,"달성","미달")</f>
        <v/>
      </c>
      <c r="N55" s="10">
        <f>IF(N51&gt;=$B55,"달성","미달")</f>
        <v/>
      </c>
      <c r="O55" s="64">
        <f>IF(SUMPRODUCT(K44:K50,J44:J50-I44:I50)=0,0,($B55*K51-SUMPRODUCT(K44:K50,I44:I50))*'가정'!$B$11/SUMPRODUCT(K44:K50,J44:J50-I44:I50))</f>
        <v/>
      </c>
      <c r="P55" s="21" t="inlineStr">
        <is>
          <t>← 하한 달성에 필요한 행사일수(현재 예산 기준)</t>
        </is>
      </c>
    </row>
    <row r="58">
      <c r="A58" s="3" t="inlineStr">
        <is>
          <t>스마트스토어 일반상품 순매출 목표 (공동구매 제외, 만원)</t>
        </is>
      </c>
    </row>
    <row r="59" ht="44" customHeight="1">
      <c r="A59" s="5" t="inlineStr">
        <is>
          <t>브랜드</t>
        </is>
      </c>
      <c r="B59" s="5" t="inlineStr">
        <is>
          <t>월</t>
        </is>
      </c>
      <c r="C59" s="5" t="inlineStr">
        <is>
          <t>스스향 광고비(만원)</t>
        </is>
      </c>
      <c r="D59" s="5" t="inlineStr">
        <is>
          <t>10월 통합 ROAS 상시</t>
        </is>
      </c>
      <c r="E59" s="5" t="inlineStr">
        <is>
          <t>10월 통합 ROAS 행사</t>
        </is>
      </c>
      <c r="F59" s="5" t="inlineStr">
        <is>
          <t>혼합 보수</t>
        </is>
      </c>
      <c r="G59" s="5" t="inlineStr">
        <is>
          <t>혼합 기준</t>
        </is>
      </c>
      <c r="H59" s="5" t="inlineStr">
        <is>
          <t>혼합 도전</t>
        </is>
      </c>
      <c r="I59" s="5" t="inlineStr">
        <is>
          <t>목표 순매출 보수</t>
        </is>
      </c>
      <c r="J59" s="5" t="inlineStr">
        <is>
          <t>목표 순매출 기준</t>
        </is>
      </c>
      <c r="K59" s="5" t="inlineStr">
        <is>
          <t>목표 순매출 도전</t>
        </is>
      </c>
    </row>
    <row r="60">
      <c r="A60" s="15" t="inlineStr">
        <is>
          <t>아넬라</t>
        </is>
      </c>
      <c r="B60" s="15" t="inlineStr">
        <is>
          <t>11월</t>
        </is>
      </c>
      <c r="C60" s="22">
        <f>K19-K18</f>
        <v/>
      </c>
      <c r="D60" s="9">
        <f>'주차별_추이'!H20</f>
        <v/>
      </c>
      <c r="E60" s="9">
        <f>'주차별_추이'!I20</f>
        <v/>
      </c>
      <c r="F60" s="8">
        <f>($B$6*$E60+('가정'!$B$10-$B$6)*$D60)/'가정'!$B$10</f>
        <v/>
      </c>
      <c r="G60" s="8">
        <f>($C$6*$E60+('가정'!$B$10-$C$6)*$D60)/'가정'!$B$10</f>
        <v/>
      </c>
      <c r="H60" s="8">
        <f>($D$6*$E60+('가정'!$B$10-$D$6)*$D60)/'가정'!$B$10</f>
        <v/>
      </c>
      <c r="I60" s="65">
        <f>$C60*F60</f>
        <v/>
      </c>
      <c r="J60" s="65">
        <f>$C60*G60</f>
        <v/>
      </c>
      <c r="K60" s="65">
        <f>$C60*H60</f>
        <v/>
      </c>
    </row>
    <row r="61">
      <c r="A61" s="15" t="inlineStr">
        <is>
          <t>아넬라</t>
        </is>
      </c>
      <c r="B61" s="15" t="inlineStr">
        <is>
          <t>12월</t>
        </is>
      </c>
      <c r="C61" s="22">
        <f>K43-K42</f>
        <v/>
      </c>
      <c r="D61" s="9">
        <f>'주차별_추이'!H20</f>
        <v/>
      </c>
      <c r="E61" s="9">
        <f>'주차별_추이'!I20</f>
        <v/>
      </c>
      <c r="F61" s="8">
        <f>($B$7*$E61+('가정'!$B$11-$B$7)*$D61)/'가정'!$B$11</f>
        <v/>
      </c>
      <c r="G61" s="8">
        <f>($C$7*$E61+('가정'!$B$11-$C$7)*$D61)/'가정'!$B$11</f>
        <v/>
      </c>
      <c r="H61" s="8">
        <f>($D$7*$E61+('가정'!$B$11-$D$7)*$D61)/'가정'!$B$11</f>
        <v/>
      </c>
      <c r="I61" s="65">
        <f>$C61*F61</f>
        <v/>
      </c>
      <c r="J61" s="65">
        <f>$C61*G61</f>
        <v/>
      </c>
      <c r="K61" s="65">
        <f>$C61*H61</f>
        <v/>
      </c>
    </row>
    <row r="62">
      <c r="A62" s="15" t="inlineStr">
        <is>
          <t>로지오가닉</t>
        </is>
      </c>
      <c r="B62" s="15" t="inlineStr">
        <is>
          <t>11월</t>
        </is>
      </c>
      <c r="C62" s="22">
        <f>K27-K26</f>
        <v/>
      </c>
      <c r="D62" s="9">
        <f>'주차별_추이'!H41</f>
        <v/>
      </c>
      <c r="E62" s="9">
        <f>'주차별_추이'!I41</f>
        <v/>
      </c>
      <c r="F62" s="8">
        <f>($B$6*$E62+('가정'!$B$10-$B$6)*$D62)/'가정'!$B$10</f>
        <v/>
      </c>
      <c r="G62" s="8">
        <f>($C$6*$E62+('가정'!$B$10-$C$6)*$D62)/'가정'!$B$10</f>
        <v/>
      </c>
      <c r="H62" s="8">
        <f>($D$6*$E62+('가정'!$B$10-$D$6)*$D62)/'가정'!$B$10</f>
        <v/>
      </c>
      <c r="I62" s="65">
        <f>$C62*F62</f>
        <v/>
      </c>
      <c r="J62" s="65">
        <f>$C62*G62</f>
        <v/>
      </c>
      <c r="K62" s="65">
        <f>$C62*H62</f>
        <v/>
      </c>
    </row>
    <row r="63">
      <c r="A63" s="15" t="inlineStr">
        <is>
          <t>로지오가닉</t>
        </is>
      </c>
      <c r="B63" s="15" t="inlineStr">
        <is>
          <t>12월</t>
        </is>
      </c>
      <c r="C63" s="22">
        <f>K51-K50</f>
        <v/>
      </c>
      <c r="D63" s="9">
        <f>'주차별_추이'!H41</f>
        <v/>
      </c>
      <c r="E63" s="9">
        <f>'주차별_추이'!I41</f>
        <v/>
      </c>
      <c r="F63" s="8">
        <f>($B$7*$E63+('가정'!$B$11-$B$7)*$D63)/'가정'!$B$11</f>
        <v/>
      </c>
      <c r="G63" s="8">
        <f>($C$7*$E63+('가정'!$B$11-$C$7)*$D63)/'가정'!$B$11</f>
        <v/>
      </c>
      <c r="H63" s="8">
        <f>($D$7*$E63+('가정'!$B$11-$D$7)*$D63)/'가정'!$B$11</f>
        <v/>
      </c>
      <c r="I63" s="65">
        <f>$C63*F63</f>
        <v/>
      </c>
      <c r="J63" s="65">
        <f>$C63*G63</f>
        <v/>
      </c>
      <c r="K63" s="65">
        <f>$C63*H63</f>
        <v/>
      </c>
    </row>
    <row r="64">
      <c r="A64" s="21" t="inlineStr">
        <is>
          <t>통합 ROAS = 스마트스토어 일반상품 순매출 ÷ 스스향 광고비(메타 자사몰 제외). 로지오가닉은 상시 구간에 이상치 이틀이 그대로 포함돼 있어 목표 순매출이 다소 높게 나올 수 있습니다.</t>
        </is>
      </c>
    </row>
    <row r="65">
      <c r="A65" s="21" t="inlineStr">
        <is>
          <t>목표 매출·순매출은 예산을 100% 사용한다고 가정한 값입니다. 10월 예산 소진율은 아넬라 약 84%, 로지오가닉 약 80%였습니다(10월_실적 시트).</t>
        </is>
      </c>
    </row>
    <row r="66">
      <c r="A66" s="21" t="inlineStr">
        <is>
          <t>아넬라 GFA 전환의 행사 ROAS는 귀속 지연·뷰스루 영향으로 높게 나왔을 가능성이 있어(점검 시트 4번), 이 매체의 목표 매출은 보수적으로 보는 편이 안전합니다.</t>
        </is>
      </c>
    </row>
  </sheetData>
  <mergeCells count="4">
    <mergeCell ref="E7:Q7"/>
    <mergeCell ref="E6:Q6"/>
    <mergeCell ref="A2:Q2"/>
    <mergeCell ref="E8:Q8"/>
  </mergeCells>
  <conditionalFormatting sqref="L30:N31">
    <cfRule type="expression" priority="1" dxfId="0">
      <formula>L30="달성"</formula>
    </cfRule>
    <cfRule type="expression" priority="2" dxfId="2">
      <formula>L30="미달"</formula>
    </cfRule>
  </conditionalFormatting>
  <conditionalFormatting sqref="L54:N55">
    <cfRule type="expression" priority="3" dxfId="0">
      <formula>L54="달성"</formula>
    </cfRule>
    <cfRule type="expression" priority="4" dxfId="2">
      <formula>L54="미달"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H2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4" customWidth="1" min="4" max="4"/>
    <col width="52" customWidth="1" min="5" max="5"/>
    <col width="44" customWidth="1" min="6" max="6"/>
    <col width="34" customWidth="1" min="7" max="7"/>
    <col width="14" customWidth="1" min="8" max="8"/>
  </cols>
  <sheetData>
    <row r="1">
      <c r="A1" s="1" t="inlineStr">
        <is>
          <t>11~12월 실행계획</t>
        </is>
      </c>
    </row>
    <row r="2" ht="20" customHeight="1">
      <c r="A2" s="2" t="inlineStr">
        <is>
          <t>근거 열은 10월 데이터 또는 사용자 전달 사항입니다. 상태가 "제안"인 항목은 담당·일정 확인이 필요합니다.</t>
        </is>
      </c>
    </row>
    <row r="4" ht="26" customHeight="1">
      <c r="A4" s="5" t="inlineStr">
        <is>
          <t>#</t>
        </is>
      </c>
      <c r="B4" s="5" t="inlineStr">
        <is>
          <t>브랜드</t>
        </is>
      </c>
      <c r="C4" s="5" t="inlineStr">
        <is>
          <t>매체·영역</t>
        </is>
      </c>
      <c r="D4" s="5" t="inlineStr">
        <is>
          <t>시기</t>
        </is>
      </c>
      <c r="E4" s="5" t="inlineStr">
        <is>
          <t>실행 내용</t>
        </is>
      </c>
      <c r="F4" s="5" t="inlineStr">
        <is>
          <t>목적 / 기대 효과</t>
        </is>
      </c>
      <c r="G4" s="5" t="inlineStr">
        <is>
          <t>근거 · 선행 조건</t>
        </is>
      </c>
      <c r="H4" s="5" t="inlineStr">
        <is>
          <t>상태</t>
        </is>
      </c>
    </row>
    <row r="5" ht="56" customHeight="1">
      <c r="A5" s="19" t="n">
        <v>1</v>
      </c>
      <c r="B5" s="19" t="inlineStr">
        <is>
          <t>공통</t>
        </is>
      </c>
      <c r="C5" s="19" t="inlineStr">
        <is>
          <t>메타 전체</t>
        </is>
      </c>
      <c r="D5" s="19" t="inlineStr">
        <is>
          <t>11/1~11/8</t>
        </is>
      </c>
      <c r="E5" s="32" t="inlineStr">
        <is>
          <t>넾다세일 기간 메타는 인스타그램 지면만 고정으로 운영하고, 저효율 지면은 OFF/감액을 유지. 광고 상품을 상시 상품(아넬라 퓨레 6+6, 로지 쌀과자 8봉)에서 영업팀 주력 상품으로 전환.</t>
        </is>
      </c>
      <c r="F5" s="32" t="inlineStr">
        <is>
          <t>행사 구간 전환 극대화, 저효율 지면 비용 제거</t>
        </is>
      </c>
      <c r="G5" s="39" t="inlineStr">
        <is>
          <t>넾다세일 11/8 종료. 10월 중순부터 저효율 지면 OFF/감액 중</t>
        </is>
      </c>
      <c r="H5" s="10" t="inlineStr">
        <is>
          <t>진행 중</t>
        </is>
      </c>
    </row>
    <row r="6" ht="56" customHeight="1">
      <c r="A6" s="19" t="n">
        <v>2</v>
      </c>
      <c r="B6" s="19" t="inlineStr">
        <is>
          <t>공통</t>
        </is>
      </c>
      <c r="C6" s="19" t="inlineStr">
        <is>
          <t>네이버 검색·GFA</t>
        </is>
      </c>
      <c r="D6" s="19" t="inlineStr">
        <is>
          <t>11/9~</t>
        </is>
      </c>
      <c r="E6" s="32" t="inlineStr">
        <is>
          <t>넾다세일 종료 후 상시 구간 데이터로 10/14(시간대 제한), 10/21(파워링크 저효율 키워드 감액), 10/26(무전환 지면 제외) 조치의 효과를 비교하고 유지·원복을 결정.</t>
        </is>
      </c>
      <c r="F6" s="32" t="inlineStr">
        <is>
          <t>조치 효과 검증, 상시 ROAS 개선</t>
        </is>
      </c>
      <c r="G6" s="39" t="inlineStr">
        <is>
          <t>상시 구간 ROAS가 하한 달성의 관건 (성과분석 시트)</t>
        </is>
      </c>
      <c r="H6" s="10" t="inlineStr">
        <is>
          <t>예정</t>
        </is>
      </c>
    </row>
    <row r="7" ht="56" customHeight="1">
      <c r="A7" s="19" t="n">
        <v>3</v>
      </c>
      <c r="B7" s="19" t="inlineStr">
        <is>
          <t>공통</t>
        </is>
      </c>
      <c r="C7" s="19" t="inlineStr">
        <is>
          <t>영업팀 협의</t>
        </is>
      </c>
      <c r="D7" s="19" t="inlineStr">
        <is>
          <t>11월 1주 내</t>
        </is>
      </c>
      <c r="E7" s="32" t="inlineStr">
        <is>
          <t>블랙프라이데이 등 11월 행사 일정을 영업팀과 협의. 행사 일정이 확정되면 목표 시트의 행사일수를 수정해 목표와 예산을 재산정.</t>
        </is>
      </c>
      <c r="F7" s="32" t="inlineStr">
        <is>
          <t>행사일수 확보 (필요 행사일수는 목표 시트 참고)</t>
        </is>
      </c>
      <c r="G7" s="39" t="inlineStr">
        <is>
          <t>행사 일정은 영업팀 소관, 현재 확정 일정은 넾다세일뿐</t>
        </is>
      </c>
      <c r="H7" s="10" t="inlineStr">
        <is>
          <t>제안</t>
        </is>
      </c>
    </row>
    <row r="8" ht="56" customHeight="1">
      <c r="A8" s="19" t="n">
        <v>4</v>
      </c>
      <c r="B8" s="19" t="inlineStr">
        <is>
          <t>공통</t>
        </is>
      </c>
      <c r="C8" s="19" t="inlineStr">
        <is>
          <t>메타 파트너십</t>
        </is>
      </c>
      <c r="D8" s="19" t="inlineStr">
        <is>
          <t>넾다세일 이후</t>
        </is>
      </c>
      <c r="E8" s="32" t="inlineStr">
        <is>
          <t>자사몰 첫구매 혜택 영상 소재를 파트너십광고로 운영.</t>
        </is>
      </c>
      <c r="F8" s="32" t="inlineStr">
        <is>
          <t>자사몰 신규 구매 확보, 행사 외 시기 효율 방어</t>
        </is>
      </c>
      <c r="G8" s="39" t="inlineStr">
        <is>
          <t>자사몰 첫구매 전용 상품 매출 규모는 자사몰_매출 시트 참고(로지 쪽이 큼). 개편 시크릿링크 썸네일 소재와 병행 테스트</t>
        </is>
      </c>
      <c r="H8" s="10" t="inlineStr">
        <is>
          <t>예정</t>
        </is>
      </c>
    </row>
    <row r="9" ht="56" customHeight="1">
      <c r="A9" s="19" t="n">
        <v>5</v>
      </c>
      <c r="B9" s="19" t="inlineStr">
        <is>
          <t>아넬라</t>
        </is>
      </c>
      <c r="C9" s="19" t="inlineStr">
        <is>
          <t>네이버 오늘끝딜</t>
        </is>
      </c>
      <c r="D9" s="19" t="inlineStr">
        <is>
          <t>11월 2주</t>
        </is>
      </c>
      <c r="E9" s="32" t="inlineStr">
        <is>
          <t>오늘끝딜 선정 시 해당 일자 검색·메타 예산을 증액하고 소재를 행사 소구로 교체. 미선정 시 상시 운영 유지.</t>
        </is>
      </c>
      <c r="F9" s="32" t="inlineStr">
        <is>
          <t>행사일수 +α, 기준 시나리오의 가정 충족</t>
        </is>
      </c>
      <c r="G9" s="39" t="inlineStr">
        <is>
          <t>선정 대기 중. 3주차(10/12~18) 오늘끝딜이 포함된 주의 ROAS는 1,300%대</t>
        </is>
      </c>
      <c r="H9" s="10" t="inlineStr">
        <is>
          <t>선정 대기</t>
        </is>
      </c>
    </row>
    <row r="10" ht="56" customHeight="1">
      <c r="A10" s="19" t="n">
        <v>6</v>
      </c>
      <c r="B10" s="19" t="inlineStr">
        <is>
          <t>아넬라</t>
        </is>
      </c>
      <c r="C10" s="19" t="inlineStr">
        <is>
          <t>메타 스스</t>
        </is>
      </c>
      <c r="D10" s="19" t="inlineStr">
        <is>
          <t>차주까지</t>
        </is>
      </c>
      <c r="E10" s="32" t="inlineStr">
        <is>
          <t>할인 소구 소재 1종과 브랜딩 또는 제품 소구 소재 1종을 교체 투입.</t>
        </is>
      </c>
      <c r="F10" s="32" t="inlineStr">
        <is>
          <t>장기 유지 소재의 피로도 해소, 상시 구간 ROAS 개선</t>
        </is>
      </c>
      <c r="G10" s="39" t="inlineStr">
        <is>
          <t>4주차 메타 스스 ROAS 하락 (주간 리포트)</t>
        </is>
      </c>
      <c r="H10" s="10" t="inlineStr">
        <is>
          <t>소재 준비 중</t>
        </is>
      </c>
    </row>
    <row r="11" ht="56" customHeight="1">
      <c r="A11" s="19" t="n">
        <v>7</v>
      </c>
      <c r="B11" s="19" t="inlineStr">
        <is>
          <t>아넬라</t>
        </is>
      </c>
      <c r="C11" s="19" t="inlineStr">
        <is>
          <t>메타 카탈로그</t>
        </is>
      </c>
      <c r="D11" s="19" t="inlineStr">
        <is>
          <t>11월 1~2주</t>
        </is>
      </c>
      <c r="E11" s="32" t="inlineStr">
        <is>
          <t>카탈로그 상품 세트를 영업팀 주력 상품 기준으로 재구성하고 ROAS 200% 이하 구간 개선.</t>
        </is>
      </c>
      <c r="F11" s="32" t="inlineStr">
        <is>
          <t>카탈로그 효율 회복</t>
        </is>
      </c>
      <c r="G11" s="39" t="inlineStr">
        <is>
          <t>4주차 카탈로그 ROAS 189% (주간 리포트)</t>
        </is>
      </c>
      <c r="H11" s="10" t="inlineStr">
        <is>
          <t>제안</t>
        </is>
      </c>
    </row>
    <row r="12" ht="56" customHeight="1">
      <c r="A12" s="19" t="n">
        <v>8</v>
      </c>
      <c r="B12" s="19" t="inlineStr">
        <is>
          <t>아넬라</t>
        </is>
      </c>
      <c r="C12" s="19" t="inlineStr">
        <is>
          <t>메타 자사몰</t>
        </is>
      </c>
      <c r="D12" s="19" t="inlineStr">
        <is>
          <t>11월 1주</t>
        </is>
      </c>
      <c r="E12" s="32" t="inlineStr">
        <is>
          <t>개편된 시크릿링크 썸네일로 광고 소재 제작. 웰컴박스·기획전은 보류를 유지.</t>
        </is>
      </c>
      <c r="F12" s="32" t="inlineStr">
        <is>
          <t>자사몰 시크릿링크 ROAS 회복</t>
        </is>
      </c>
      <c r="G12" s="39" t="inlineStr">
        <is>
          <t>시크릿링크 ROAS가 주차 경과에 따라 하락 (주차별 추이)</t>
        </is>
      </c>
      <c r="H12" s="10" t="inlineStr">
        <is>
          <t>제작 예정</t>
        </is>
      </c>
    </row>
    <row r="13" ht="56" customHeight="1">
      <c r="A13" s="19" t="n">
        <v>9</v>
      </c>
      <c r="B13" s="19" t="inlineStr">
        <is>
          <t>아넬라</t>
        </is>
      </c>
      <c r="C13" s="19" t="inlineStr">
        <is>
          <t>GFA 전환</t>
        </is>
      </c>
      <c r="D13" s="19" t="inlineStr">
        <is>
          <t>소재 검토 후</t>
        </is>
      </c>
      <c r="E13" s="32" t="inlineStr">
        <is>
          <t>신규 소구점 5종 테스트는 소재 검토를 마친 뒤 재개. 재개 전 소구점·타겟 가설을 정리.</t>
        </is>
      </c>
      <c r="F13" s="32" t="inlineStr">
        <is>
          <t>신규 소구점 발굴</t>
        </is>
      </c>
      <c r="G13" s="39" t="inlineStr">
        <is>
          <t>10/14~16 집행 시 구매 1건, 현재 HOLD</t>
        </is>
      </c>
      <c r="H13" s="10" t="inlineStr">
        <is>
          <t>HOLD</t>
        </is>
      </c>
    </row>
    <row r="14" ht="56" customHeight="1">
      <c r="A14" s="19" t="n">
        <v>10</v>
      </c>
      <c r="B14" s="19" t="inlineStr">
        <is>
          <t>아넬라</t>
        </is>
      </c>
      <c r="C14" s="19" t="inlineStr">
        <is>
          <t>쇼핑검색</t>
        </is>
      </c>
      <c r="D14" s="19" t="inlineStr">
        <is>
          <t>넾다세일 기간(~11/8)</t>
        </is>
      </c>
      <c r="E14" s="32" t="inlineStr">
        <is>
          <t>넾다세일(10/26)부터 24시간 균등 노출로 원복 완료. 이후 시간대별 성과를 함께 확인. 과자(떡뻥) 캠페인은 롱테일 검색어 중심으로 정리.</t>
        </is>
      </c>
      <c r="F14" s="32" t="inlineStr">
        <is>
          <t>행사 기간 낮 시간대 유입·매출 기회 확보</t>
        </is>
      </c>
      <c r="G14" s="39" t="inlineStr">
        <is>
          <t>시간 제한 후 ROAS 490%→368%, 매출 -24% (시간제한_검증 시트). 시간대별 입찰비중 조정 기능은 확인되지 않음</t>
        </is>
      </c>
      <c r="H14" s="10" t="inlineStr">
        <is>
          <t>원복 완료</t>
        </is>
      </c>
    </row>
    <row r="15" ht="56" customHeight="1">
      <c r="A15" s="19" t="n">
        <v>11</v>
      </c>
      <c r="B15" s="19" t="inlineStr">
        <is>
          <t>아넬라</t>
        </is>
      </c>
      <c r="C15" s="19" t="inlineStr">
        <is>
          <t>파워링크</t>
        </is>
      </c>
      <c r="D15" s="19" t="inlineStr">
        <is>
          <t>상시</t>
        </is>
      </c>
      <c r="E15" s="32" t="inlineStr">
        <is>
          <t>현행 노출 시간 설정(노출 제외 0~3시, 17~24시)을 유지하고 매출 볼륨을 추가로 모니터링.</t>
        </is>
      </c>
      <c r="F15" s="32" t="inlineStr">
        <is>
          <t>효율 개선분(ROAS 224%→408%) 유지</t>
        </is>
      </c>
      <c r="G15" s="39" t="inlineStr">
        <is>
          <t>광고비 -58%에 매출 -22%. 10/21 저효율 키워드 감액이 같은 기간에 섞여 있음 (시간제한_검증 시트)</t>
        </is>
      </c>
      <c r="H15" s="10" t="inlineStr">
        <is>
          <t>진행 중</t>
        </is>
      </c>
    </row>
    <row r="16" ht="56" customHeight="1">
      <c r="A16" s="19" t="n">
        <v>12</v>
      </c>
      <c r="B16" s="19" t="inlineStr">
        <is>
          <t>로지오가닉</t>
        </is>
      </c>
      <c r="C16" s="19" t="inlineStr">
        <is>
          <t>메타 스스</t>
        </is>
      </c>
      <c r="D16" s="19" t="inlineStr">
        <is>
          <t>차주</t>
        </is>
      </c>
      <c r="E16" s="32" t="inlineStr">
        <is>
          <t>네이버 협력광고 신규 소재 기획안을 전달하고 소재를 교체. 10/24~25 이상치 원인을 먼저 확인.</t>
        </is>
      </c>
      <c r="F16" s="32" t="inlineStr">
        <is>
          <t>집계 신뢰도 확보, 메타 스스 효율 유지</t>
        </is>
      </c>
      <c r="G16" s="39" t="inlineStr">
        <is>
          <t>점검 시트 1번 (이틀 전환값이 스토어 결제의 수 배)</t>
        </is>
      </c>
      <c r="H16" s="10" t="inlineStr">
        <is>
          <t>확인 필요</t>
        </is>
      </c>
    </row>
    <row r="17" ht="56" customHeight="1">
      <c r="A17" s="19" t="n">
        <v>13</v>
      </c>
      <c r="B17" s="19" t="inlineStr">
        <is>
          <t>로지오가닉</t>
        </is>
      </c>
      <c r="C17" s="19" t="inlineStr">
        <is>
          <t>GFA 전환</t>
        </is>
      </c>
      <c r="D17" s="19" t="inlineStr">
        <is>
          <t>11/1~11/8</t>
        </is>
      </c>
      <c r="E17" s="32" t="inlineStr">
        <is>
          <t>넾다세일 한정 20만원으로 웹전환 캠페인을 운영하고 종료 시 지속 여부 판단.</t>
        </is>
      </c>
      <c r="F17" s="32" t="inlineStr">
        <is>
          <t>행사 구간 추가 전환 확보</t>
        </is>
      </c>
      <c r="G17" s="39" t="inlineStr">
        <is>
          <t>10/26~28 3일 ROAS 111%, 표본 작음</t>
        </is>
      </c>
      <c r="H17" s="10" t="inlineStr">
        <is>
          <t>진행 중</t>
        </is>
      </c>
    </row>
    <row r="18" ht="56" customHeight="1">
      <c r="A18" s="19" t="n">
        <v>14</v>
      </c>
      <c r="B18" s="19" t="inlineStr">
        <is>
          <t>로지오가닉</t>
        </is>
      </c>
      <c r="C18" s="19" t="inlineStr">
        <is>
          <t>메타 자사몰</t>
        </is>
      </c>
      <c r="D18" s="19" t="inlineStr">
        <is>
          <t>예산 여유 시</t>
        </is>
      </c>
      <c r="E18" s="32" t="inlineStr">
        <is>
          <t>배도라지즙 시크릿링크 소재를 제작해 광고비 여유가 생기면 집행. 보리차 시크릿링크는 보류 유지.</t>
        </is>
      </c>
      <c r="F18" s="32" t="inlineStr">
        <is>
          <t>자사몰 매출 다변화</t>
        </is>
      </c>
      <c r="G18" s="39" t="inlineStr">
        <is>
          <t>광고비 여유 여부에 따라 집행. 시크릿링크 개편 썸네일 활용</t>
        </is>
      </c>
      <c r="H18" s="10" t="inlineStr">
        <is>
          <t>조건부</t>
        </is>
      </c>
    </row>
    <row r="19" ht="56" customHeight="1">
      <c r="A19" s="19" t="n">
        <v>15</v>
      </c>
      <c r="B19" s="19" t="inlineStr">
        <is>
          <t>로지오가닉</t>
        </is>
      </c>
      <c r="C19" s="19" t="inlineStr">
        <is>
          <t>네이버 검색</t>
        </is>
      </c>
      <c r="D19" s="19" t="inlineStr">
        <is>
          <t>11/9~</t>
        </is>
      </c>
      <c r="E19" s="32" t="inlineStr">
        <is>
          <t>파워링크 대표K·구매K 그룹 중심으로 저효율 키워드를 정리하고 넾다세일에 맞춰 일예산을 유동적으로 조정.</t>
        </is>
      </c>
      <c r="F19" s="32" t="inlineStr">
        <is>
          <t>파워링크·쇼핑검색 ROAS를 하한 근처로 회복</t>
        </is>
      </c>
      <c r="G19" s="39" t="inlineStr">
        <is>
          <t>10월 파워링크+쇼핑검색 합산 ROAS가 하한 미달 (성과분석 시트)</t>
        </is>
      </c>
      <c r="H19" s="10" t="inlineStr">
        <is>
          <t>진행 중</t>
        </is>
      </c>
    </row>
    <row r="20" ht="56" customHeight="1">
      <c r="A20" s="19" t="n">
        <v>16</v>
      </c>
      <c r="B20" s="19" t="inlineStr">
        <is>
          <t>공통</t>
        </is>
      </c>
      <c r="C20" s="19" t="inlineStr">
        <is>
          <t>12월</t>
        </is>
      </c>
      <c r="D20" s="19" t="inlineStr">
        <is>
          <t>11월 말</t>
        </is>
      </c>
      <c r="E20" s="32" t="inlineStr">
        <is>
          <t>12월 예산은 11월 수준을 유지. 연말 행사 일정이 영업팀에서 나오는 대로 목표 시트의 12월 행사일수를 확정.</t>
        </is>
      </c>
      <c r="F20" s="32" t="inlineStr">
        <is>
          <t>12월 목표 확정</t>
        </is>
      </c>
      <c r="G20" s="39" t="inlineStr">
        <is>
          <t>현재 12월 행사 일정 없음</t>
        </is>
      </c>
      <c r="H20" s="10" t="inlineStr">
        <is>
          <t>예정</t>
        </is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F54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가정·기준값</t>
        </is>
      </c>
    </row>
    <row r="2" ht="20" customHeight="1">
      <c r="A2" s="2" t="inlineStr">
        <is>
          <t>파란 글씨·노란 칸 = 입력값(수정 가능), 검정 = 수식. 다른 시트의 계산은 모두 이 시트와 데이터 시트를 참조합니다.</t>
        </is>
      </c>
    </row>
    <row r="4">
      <c r="A4" s="3" t="inlineStr">
        <is>
          <t>기간</t>
        </is>
      </c>
    </row>
    <row r="5">
      <c r="A5" s="15" t="inlineStr">
        <is>
          <t>집계 시작일</t>
        </is>
      </c>
      <c r="B5" s="66" t="n">
        <v>46296</v>
      </c>
      <c r="F5" s="21" t="inlineStr">
        <is>
          <t>광고 리포트·스마트스토어 파일의 시작일</t>
        </is>
      </c>
    </row>
    <row r="6">
      <c r="A6" s="15" t="inlineStr">
        <is>
          <t>집계 종료일</t>
        </is>
      </c>
      <c r="B6" s="66" t="n">
        <v>46323</v>
      </c>
      <c r="F6" s="21" t="inlineStr">
        <is>
          <t>광고 리포트·스마트스토어 파일의 종료일</t>
        </is>
      </c>
    </row>
    <row r="7">
      <c r="A7" s="15" t="inlineStr">
        <is>
          <t>집계 일수</t>
        </is>
      </c>
      <c r="B7" s="67">
        <f>B6-B5+1</f>
        <v/>
      </c>
      <c r="F7" s="21" t="inlineStr"/>
    </row>
    <row r="8">
      <c r="A8" s="15" t="inlineStr">
        <is>
          <t>10월 일수</t>
        </is>
      </c>
      <c r="B8" s="61" t="n">
        <v>31</v>
      </c>
      <c r="F8" s="21" t="inlineStr"/>
    </row>
    <row r="9">
      <c r="A9" s="15" t="inlineStr">
        <is>
          <t>10월 잔여일수</t>
        </is>
      </c>
      <c r="B9" s="67">
        <f>B8-B7</f>
        <v/>
      </c>
      <c r="F9" s="21" t="inlineStr">
        <is>
          <t>월말 예상치 계산에 사용 (10/29~10/31)</t>
        </is>
      </c>
    </row>
    <row r="10">
      <c r="A10" s="15" t="inlineStr">
        <is>
          <t>11월 일수</t>
        </is>
      </c>
      <c r="B10" s="61" t="n">
        <v>30</v>
      </c>
      <c r="F10" s="21" t="inlineStr"/>
    </row>
    <row r="11">
      <c r="A11" s="15" t="inlineStr">
        <is>
          <t>12월 일수</t>
        </is>
      </c>
      <c r="B11" s="61" t="n">
        <v>31</v>
      </c>
      <c r="F11" s="21" t="inlineStr"/>
    </row>
    <row r="12">
      <c r="A12" s="15" t="inlineStr">
        <is>
          <t>"근접" 판정 기준 (달성률)</t>
        </is>
      </c>
      <c r="B12" s="43" t="n">
        <v>0.95</v>
      </c>
      <c r="F12" s="21" t="inlineStr">
        <is>
          <t>달성률 100% 이상 = 달성, 이 값 이상 = 근접, 미만 = 미달</t>
        </is>
      </c>
    </row>
    <row r="14">
      <c r="A14" s="3" t="inlineStr">
        <is>
          <t>월 광고 예산 (만원, 네이버 VAT 미포함)</t>
        </is>
      </c>
    </row>
    <row r="15">
      <c r="A15" s="5" t="inlineStr">
        <is>
          <t>브랜드</t>
        </is>
      </c>
      <c r="B15" s="5" t="inlineStr">
        <is>
          <t>매체</t>
        </is>
      </c>
      <c r="C15" s="5" t="inlineStr">
        <is>
          <t>10월</t>
        </is>
      </c>
      <c r="D15" s="5" t="inlineStr">
        <is>
          <t>11월</t>
        </is>
      </c>
      <c r="E15" s="5" t="inlineStr">
        <is>
          <t>12월</t>
        </is>
      </c>
      <c r="F15" s="5" t="inlineStr">
        <is>
          <t>비고 (12월은 "11월 예산 유지" 가정으로 11월 값을 따라가며, 다른 값이 필요하면 E열을 덮어쓰기)</t>
        </is>
      </c>
    </row>
    <row r="16">
      <c r="A16" s="15" t="inlineStr">
        <is>
          <t>아넬라</t>
        </is>
      </c>
      <c r="B16" s="15" t="inlineStr">
        <is>
          <t>파워링크</t>
        </is>
      </c>
      <c r="C16" s="61" t="n">
        <v>120</v>
      </c>
      <c r="D16" s="61" t="n">
        <v>120</v>
      </c>
      <c r="E16" s="67">
        <f>D16</f>
        <v/>
      </c>
      <c r="F16" s="62" t="inlineStr"/>
    </row>
    <row r="17">
      <c r="A17" s="15" t="inlineStr">
        <is>
          <t>아넬라</t>
        </is>
      </c>
      <c r="B17" s="15" t="inlineStr">
        <is>
          <t>쇼핑검색</t>
        </is>
      </c>
      <c r="C17" s="61" t="n">
        <v>380</v>
      </c>
      <c r="D17" s="61" t="n">
        <v>380</v>
      </c>
      <c r="E17" s="67">
        <f>D17</f>
        <v/>
      </c>
      <c r="F17" s="62" t="inlineStr"/>
    </row>
    <row r="18">
      <c r="A18" s="15" t="inlineStr">
        <is>
          <t>아넬라</t>
        </is>
      </c>
      <c r="B18" s="15" t="inlineStr">
        <is>
          <t>GFA 카탈로그</t>
        </is>
      </c>
      <c r="C18" s="61" t="n">
        <v>30</v>
      </c>
      <c r="D18" s="61" t="n">
        <v>30</v>
      </c>
      <c r="E18" s="67">
        <f>D18</f>
        <v/>
      </c>
      <c r="F18" s="62" t="inlineStr"/>
    </row>
    <row r="19">
      <c r="A19" s="15" t="inlineStr">
        <is>
          <t>아넬라</t>
        </is>
      </c>
      <c r="B19" s="15" t="inlineStr">
        <is>
          <t>GFA 전환</t>
        </is>
      </c>
      <c r="C19" s="61" t="n">
        <v>250</v>
      </c>
      <c r="D19" s="61" t="n">
        <v>150</v>
      </c>
      <c r="E19" s="67">
        <f>D19</f>
        <v/>
      </c>
      <c r="F19" s="62" t="inlineStr">
        <is>
          <t>신규 소구 5종 테스트가 소재 검토로 HOLD 중이라 11월 감액</t>
        </is>
      </c>
    </row>
    <row r="20">
      <c r="A20" s="15" t="inlineStr">
        <is>
          <t>아넬라</t>
        </is>
      </c>
      <c r="B20" s="15" t="inlineStr">
        <is>
          <t>메타 스스</t>
        </is>
      </c>
      <c r="C20" s="61" t="n">
        <v>200</v>
      </c>
      <c r="D20" s="61" t="n">
        <v>200</v>
      </c>
      <c r="E20" s="67">
        <f>D20</f>
        <v/>
      </c>
      <c r="F20" s="62" t="inlineStr"/>
    </row>
    <row r="21">
      <c r="A21" s="15" t="inlineStr">
        <is>
          <t>아넬라</t>
        </is>
      </c>
      <c r="B21" s="15" t="inlineStr">
        <is>
          <t>메타 자사몰</t>
        </is>
      </c>
      <c r="C21" s="61" t="n">
        <v>250</v>
      </c>
      <c r="D21" s="61" t="n">
        <v>180</v>
      </c>
      <c r="E21" s="67">
        <f>D21</f>
        <v/>
      </c>
      <c r="F21" s="62" t="inlineStr">
        <is>
          <t>웰컴박스·기획전 보류로 축소</t>
        </is>
      </c>
    </row>
    <row r="22">
      <c r="A22" s="15" t="inlineStr">
        <is>
          <t>로지오가닉</t>
        </is>
      </c>
      <c r="B22" s="15" t="inlineStr">
        <is>
          <t>파워링크</t>
        </is>
      </c>
      <c r="C22" s="61" t="n">
        <v>120</v>
      </c>
      <c r="D22" s="61" t="n">
        <v>120</v>
      </c>
      <c r="E22" s="67">
        <f>D22</f>
        <v/>
      </c>
      <c r="F22" s="62" t="inlineStr"/>
    </row>
    <row r="23">
      <c r="A23" s="15" t="inlineStr">
        <is>
          <t>로지오가닉</t>
        </is>
      </c>
      <c r="B23" s="15" t="inlineStr">
        <is>
          <t>쇼핑검색</t>
        </is>
      </c>
      <c r="C23" s="61" t="n">
        <v>250</v>
      </c>
      <c r="D23" s="61" t="n">
        <v>250</v>
      </c>
      <c r="E23" s="67">
        <f>D23</f>
        <v/>
      </c>
      <c r="F23" s="62" t="inlineStr"/>
    </row>
    <row r="24">
      <c r="A24" s="15" t="inlineStr">
        <is>
          <t>로지오가닉</t>
        </is>
      </c>
      <c r="B24" s="15" t="inlineStr">
        <is>
          <t>GFA 카탈로그</t>
        </is>
      </c>
      <c r="C24" s="61" t="n">
        <v>30</v>
      </c>
      <c r="D24" s="61" t="n">
        <v>30</v>
      </c>
      <c r="E24" s="67">
        <f>D24</f>
        <v/>
      </c>
      <c r="F24" s="62" t="inlineStr"/>
    </row>
    <row r="25">
      <c r="A25" s="15" t="inlineStr">
        <is>
          <t>로지오가닉</t>
        </is>
      </c>
      <c r="B25" s="15" t="inlineStr">
        <is>
          <t>GFA 전환</t>
        </is>
      </c>
      <c r="C25" s="61" t="n">
        <v>0</v>
      </c>
      <c r="D25" s="61" t="n">
        <v>20</v>
      </c>
      <c r="E25" s="67">
        <f>D25</f>
        <v/>
      </c>
      <c r="F25" s="62" t="inlineStr">
        <is>
          <t>11월 신설, 넾다세일 한정 예산. 12월은 11월 유지 가정에 따라 같은 값이 들어가므로 사용처 확정 필요</t>
        </is>
      </c>
    </row>
    <row r="26">
      <c r="A26" s="15" t="inlineStr">
        <is>
          <t>로지오가닉</t>
        </is>
      </c>
      <c r="B26" s="15" t="inlineStr">
        <is>
          <t>메타 스스</t>
        </is>
      </c>
      <c r="C26" s="61" t="n">
        <v>250</v>
      </c>
      <c r="D26" s="61" t="n">
        <v>215</v>
      </c>
      <c r="E26" s="67">
        <f>D26</f>
        <v/>
      </c>
      <c r="F26" s="62" t="inlineStr">
        <is>
          <t>넾다세일로 약간 감액</t>
        </is>
      </c>
    </row>
    <row r="27">
      <c r="A27" s="15" t="inlineStr">
        <is>
          <t>로지오가닉</t>
        </is>
      </c>
      <c r="B27" s="15" t="inlineStr">
        <is>
          <t>메타 자사몰</t>
        </is>
      </c>
      <c r="C27" s="61" t="n">
        <v>180</v>
      </c>
      <c r="D27" s="61" t="n">
        <v>150</v>
      </c>
      <c r="E27" s="67">
        <f>D27</f>
        <v/>
      </c>
      <c r="F27" s="62" t="inlineStr">
        <is>
          <t>보리차 시크릿링크 보류로 감액</t>
        </is>
      </c>
    </row>
    <row r="28">
      <c r="A28" s="11" t="inlineStr">
        <is>
          <t>아넬라</t>
        </is>
      </c>
      <c r="B28" s="11" t="inlineStr">
        <is>
          <t>합계</t>
        </is>
      </c>
      <c r="C28" s="68">
        <f>SUMIFS(C$16:C$27,$A$16:$A$27,$A28)</f>
        <v/>
      </c>
      <c r="D28" s="68">
        <f>SUMIFS(D$16:D$27,$A$16:$A$27,$A28)</f>
        <v/>
      </c>
      <c r="E28" s="68">
        <f>SUMIFS(E$16:E$27,$A$16:$A$27,$A28)</f>
        <v/>
      </c>
    </row>
    <row r="29">
      <c r="A29" s="11" t="inlineStr">
        <is>
          <t>로지오가닉</t>
        </is>
      </c>
      <c r="B29" s="11" t="inlineStr">
        <is>
          <t>합계</t>
        </is>
      </c>
      <c r="C29" s="68">
        <f>SUMIFS(C$16:C$27,$A$16:$A$27,$A29)</f>
        <v/>
      </c>
      <c r="D29" s="68">
        <f>SUMIFS(D$16:D$27,$A$16:$A$27,$A29)</f>
        <v/>
      </c>
      <c r="E29" s="68">
        <f>SUMIFS(E$16:E$27,$A$16:$A$27,$A29)</f>
        <v/>
      </c>
    </row>
    <row r="30">
      <c r="A30" s="11" t="inlineStr">
        <is>
          <t>전체</t>
        </is>
      </c>
      <c r="B30" s="11" t="inlineStr">
        <is>
          <t>합계</t>
        </is>
      </c>
      <c r="C30" s="68">
        <f>C28+C29</f>
        <v/>
      </c>
      <c r="D30" s="68">
        <f>D28+D29</f>
        <v/>
      </c>
      <c r="E30" s="68">
        <f>E28+E29</f>
        <v/>
      </c>
    </row>
    <row r="32">
      <c r="A32" s="15" t="inlineStr">
        <is>
          <t>제시 합계(검증용) 아넬라</t>
        </is>
      </c>
      <c r="C32" s="61" t="n">
        <v>1230</v>
      </c>
      <c r="D32" s="61" t="n">
        <v>1060</v>
      </c>
      <c r="E32" s="67">
        <f>D32</f>
        <v/>
      </c>
      <c r="F32" s="21" t="inlineStr">
        <is>
          <t>출처: 사용자가 전달한 10월·11월 예산 총액. 12월은 11월 유지</t>
        </is>
      </c>
    </row>
    <row r="33">
      <c r="A33" s="15" t="inlineStr">
        <is>
          <t>제시 합계(검증용) 로지오가닉</t>
        </is>
      </c>
      <c r="C33" s="61" t="n">
        <v>830</v>
      </c>
      <c r="D33" s="61" t="n">
        <v>785</v>
      </c>
      <c r="E33" s="67">
        <f>D33</f>
        <v/>
      </c>
    </row>
    <row r="34">
      <c r="A34" s="6" t="inlineStr">
        <is>
          <t>검증: 합계 차이 (0이면 일치)</t>
        </is>
      </c>
      <c r="C34" s="69">
        <f>ABS(C28-C32)+ABS(C29-C33)</f>
        <v/>
      </c>
      <c r="D34" s="69">
        <f>ABS(D28-D32)+ABS(D29-D33)</f>
        <v/>
      </c>
      <c r="E34" s="69">
        <f>ABS(E28-E32)+ABS(E29-E33)</f>
        <v/>
      </c>
    </row>
    <row r="36">
      <c r="A36" s="3" t="inlineStr">
        <is>
          <t>브랜드검색 정액 (예산표 외 별도 과금)</t>
        </is>
      </c>
    </row>
    <row r="37">
      <c r="A37" s="15" t="inlineStr">
        <is>
          <t>월 정액 (원, 브랜드별)</t>
        </is>
      </c>
      <c r="B37" s="61" t="n">
        <v>880000</v>
      </c>
      <c r="F37" s="21" t="inlineStr">
        <is>
          <t>출처: 9월 월간 리포트 하단 주석 (정액제 2,640,000원/90일을 30일분으로 환산). 주간 리포트의 광고비 집계와 같은 방식</t>
        </is>
      </c>
    </row>
    <row r="38">
      <c r="A38" s="15" t="inlineStr">
        <is>
          <t>일 안분액 (원)</t>
        </is>
      </c>
      <c r="B38" s="67">
        <f>B37/30</f>
        <v/>
      </c>
    </row>
    <row r="40">
      <c r="A40" s="3" t="inlineStr">
        <is>
          <t>4분기 KPI 보고안 기준 (2026.10.06 갱신본)</t>
        </is>
      </c>
    </row>
    <row r="41">
      <c r="A41" s="5" t="inlineStr">
        <is>
          <t>항목</t>
        </is>
      </c>
      <c r="B41" s="5" t="inlineStr">
        <is>
          <t>아넬라</t>
        </is>
      </c>
      <c r="C41" s="5" t="inlineStr">
        <is>
          <t>로지오가닉</t>
        </is>
      </c>
      <c r="D41" s="5" t="inlineStr"/>
      <c r="E41" s="5" t="inlineStr"/>
      <c r="F41" s="5" t="inlineStr">
        <is>
          <t>출처·비고</t>
        </is>
      </c>
    </row>
    <row r="42">
      <c r="A42" s="15" t="inlineStr">
        <is>
          <t>광고 ROAS 하한</t>
        </is>
      </c>
      <c r="B42" s="43" t="n">
        <v>8.5</v>
      </c>
      <c r="C42" s="43" t="n">
        <v>4.2</v>
      </c>
      <c r="F42" s="21" t="inlineStr">
        <is>
          <t>4분기 KPI 보고안 "ROAS 하한 근거" (8·9월 월간 ROAS가 이 값 이상)</t>
        </is>
      </c>
    </row>
    <row r="43">
      <c r="A43" s="15" t="inlineStr">
        <is>
          <t>광고 기준 목표 주문 (건/월)</t>
        </is>
      </c>
      <c r="B43" s="61" t="n">
        <v>2700</v>
      </c>
      <c r="C43" s="61" t="n">
        <v>1700</v>
      </c>
      <c r="F43" s="21" t="inlineStr">
        <is>
          <t>4분기 KPI 보고안 (9월 ROAS 유지 시 월 환산)</t>
        </is>
      </c>
    </row>
    <row r="44">
      <c r="A44" s="15" t="inlineStr">
        <is>
          <t>KPI안 광고예산 10월 (만원)</t>
        </is>
      </c>
      <c r="B44" s="61" t="n">
        <v>1300</v>
      </c>
      <c r="C44" s="61" t="n">
        <v>900</v>
      </c>
      <c r="F44" s="21" t="inlineStr">
        <is>
          <t>실행 예산 + 브랜드검색 정액(월 88만원)이 포함된 값</t>
        </is>
      </c>
    </row>
    <row r="45">
      <c r="A45" s="15" t="inlineStr">
        <is>
          <t>KPI안 광고예산 11월 (만원)</t>
        </is>
      </c>
      <c r="B45" s="61" t="n">
        <v>1200</v>
      </c>
      <c r="C45" s="61" t="n">
        <v>800</v>
      </c>
      <c r="F45" s="21" t="inlineStr"/>
    </row>
    <row r="46">
      <c r="A46" s="15" t="inlineStr">
        <is>
          <t>KPI안 광고예산 12월 (만원)</t>
        </is>
      </c>
      <c r="B46" s="61" t="n">
        <v>1300</v>
      </c>
      <c r="C46" s="61" t="n">
        <v>800</v>
      </c>
      <c r="F46" s="21" t="inlineStr"/>
    </row>
    <row r="48">
      <c r="A48" s="3" t="inlineStr">
        <is>
          <t>기간 구분 (광고 성과를 상시/행사로 나누는 기준)</t>
        </is>
      </c>
    </row>
    <row r="49">
      <c r="A49" s="5" t="inlineStr">
        <is>
          <t>기간 코드</t>
        </is>
      </c>
      <c r="B49" s="5" t="inlineStr">
        <is>
          <t>시작일</t>
        </is>
      </c>
      <c r="C49" s="5" t="inlineStr">
        <is>
          <t>종료일</t>
        </is>
      </c>
      <c r="D49" s="5" t="inlineStr">
        <is>
          <t>일수</t>
        </is>
      </c>
      <c r="E49" s="5" t="inlineStr">
        <is>
          <t>구분</t>
        </is>
      </c>
      <c r="F49" s="5" t="inlineStr">
        <is>
          <t>주요 이슈</t>
        </is>
      </c>
    </row>
    <row r="50">
      <c r="A50" s="15" t="inlineStr">
        <is>
          <t>P1</t>
        </is>
      </c>
      <c r="B50" s="66" t="n">
        <v>46296</v>
      </c>
      <c r="C50" s="66" t="n">
        <v>46299</v>
      </c>
      <c r="D50" s="67">
        <f>C50-B50+1</f>
        <v/>
      </c>
      <c r="E50" s="70" t="inlineStr">
        <is>
          <t>상시</t>
        </is>
      </c>
      <c r="F50" s="62" t="inlineStr">
        <is>
          <t>9주차(9/28~10/4) 중 10/1~10/4만 포함</t>
        </is>
      </c>
    </row>
    <row r="51">
      <c r="A51" s="15" t="inlineStr">
        <is>
          <t>P2</t>
        </is>
      </c>
      <c r="B51" s="66" t="n">
        <v>46300</v>
      </c>
      <c r="C51" s="66" t="n">
        <v>46306</v>
      </c>
      <c r="D51" s="67">
        <f>C51-B51+1</f>
        <v/>
      </c>
      <c r="E51" s="70" t="inlineStr">
        <is>
          <t>상시</t>
        </is>
      </c>
      <c r="F51" s="62" t="inlineStr">
        <is>
          <t>10월 2주차. 4주차 주간 리포트가 "상시 기간"으로 언급</t>
        </is>
      </c>
    </row>
    <row r="52">
      <c r="A52" s="15" t="inlineStr">
        <is>
          <t>P3</t>
        </is>
      </c>
      <c r="B52" s="66" t="n">
        <v>46307</v>
      </c>
      <c r="C52" s="66" t="n">
        <v>46313</v>
      </c>
      <c r="D52" s="67">
        <f>C52-B52+1</f>
        <v/>
      </c>
      <c r="E52" s="70" t="inlineStr">
        <is>
          <t>행사</t>
        </is>
      </c>
      <c r="F52" s="62" t="inlineStr">
        <is>
          <t>아넬라: 라이프위크·오늘끝딜·1+1 이벤트 (3주차 주간 리포트). 로지도 라이프위크</t>
        </is>
      </c>
    </row>
    <row r="53">
      <c r="A53" s="15" t="inlineStr">
        <is>
          <t>P4</t>
        </is>
      </c>
      <c r="B53" s="66" t="n">
        <v>46314</v>
      </c>
      <c r="C53" s="66" t="n">
        <v>46320</v>
      </c>
      <c r="D53" s="67">
        <f>C53-B53+1</f>
        <v/>
      </c>
      <c r="E53" s="70" t="inlineStr">
        <is>
          <t>상시</t>
        </is>
      </c>
      <c r="F53" s="62" t="inlineStr">
        <is>
          <t>1+1은 10/19 오전 종료 후 별도 행사 없음 (4주차 주간 리포트)</t>
        </is>
      </c>
    </row>
    <row r="54">
      <c r="A54" s="15" t="inlineStr">
        <is>
          <t>P5</t>
        </is>
      </c>
      <c r="B54" s="66" t="n">
        <v>46321</v>
      </c>
      <c r="C54" s="66" t="n">
        <v>46323</v>
      </c>
      <c r="D54" s="67">
        <f>C54-B54+1</f>
        <v/>
      </c>
      <c r="E54" s="70" t="inlineStr">
        <is>
          <t>행사</t>
        </is>
      </c>
      <c r="F54" s="62" t="inlineStr">
        <is>
          <t>10/26 넾다세일 시작 (아넬라·로지 모두 11/8까지)</t>
        </is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G40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22" customWidth="1" min="5" max="5"/>
    <col width="20" customWidth="1" min="6" max="6"/>
    <col width="60" customWidth="1" min="7" max="7"/>
  </cols>
  <sheetData>
    <row r="1">
      <c r="A1" s="1" t="inlineStr">
        <is>
          <t>데이터 점검</t>
        </is>
      </c>
    </row>
    <row r="2" ht="20" customHeight="1">
      <c r="A2" s="2" t="inlineStr">
        <is>
          <t>팀장 확인이 필요한 데이터 이슈와, 목표 산정에 쓰는 보정값입니다.</t>
        </is>
      </c>
    </row>
    <row r="4">
      <c r="A4" s="3" t="inlineStr">
        <is>
          <t>1. 로지오가닉 메타 스스: 10/24~10/25 전환이 스토어 실제 결제보다 큼</t>
        </is>
      </c>
    </row>
    <row r="5" ht="44" customHeight="1">
      <c r="A5" s="5" t="inlineStr">
        <is>
          <t>날짜</t>
        </is>
      </c>
      <c r="B5" s="5" t="inlineStr">
        <is>
          <t>메타 광고비(원)</t>
        </is>
      </c>
      <c r="C5" s="5" t="inlineStr">
        <is>
          <t>메타 구매(건)</t>
        </is>
      </c>
      <c r="D5" s="5" t="inlineStr">
        <is>
          <t>메타 구매 전환값(원)</t>
        </is>
      </c>
      <c r="E5" s="5" t="inlineStr">
        <is>
          <t>로지 스토어 결제금액(총, 공구 포함, 원)</t>
        </is>
      </c>
      <c r="F5" s="5" t="inlineStr">
        <is>
          <t>메타 전환값 ÷ 스토어 결제금액</t>
        </is>
      </c>
      <c r="G5" s="5" t="inlineStr">
        <is>
          <t>보정 대상 (Y = 목표 산정에서 제외)</t>
        </is>
      </c>
    </row>
    <row r="6">
      <c r="A6" s="71" t="n">
        <v>46317</v>
      </c>
      <c r="B6" s="72" t="n">
        <v>60129</v>
      </c>
      <c r="C6" s="72" t="n">
        <v>20</v>
      </c>
      <c r="D6" s="72" t="n">
        <v>403681</v>
      </c>
      <c r="E6" s="7">
        <f>SUMIFS('데이터_SS일별'!$E$2:$E$400,'데이터_SS일별'!$A$2:$A$400,"로지오가닉",'데이터_SS일별'!$B$2:$B$400,A6)</f>
        <v/>
      </c>
      <c r="F6" s="9">
        <f>IF(E6=0,0,D6/E6)</f>
        <v/>
      </c>
      <c r="G6" s="70" t="inlineStr">
        <is>
          <t>N</t>
        </is>
      </c>
    </row>
    <row r="7">
      <c r="A7" s="71" t="n">
        <v>46318</v>
      </c>
      <c r="B7" s="72" t="n">
        <v>68710</v>
      </c>
      <c r="C7" s="72" t="n">
        <v>17</v>
      </c>
      <c r="D7" s="72" t="n">
        <v>428400</v>
      </c>
      <c r="E7" s="7">
        <f>SUMIFS('데이터_SS일별'!$E$2:$E$400,'데이터_SS일별'!$A$2:$A$400,"로지오가닉",'데이터_SS일별'!$B$2:$B$400,A7)</f>
        <v/>
      </c>
      <c r="F7" s="9">
        <f>IF(E7=0,0,D7/E7)</f>
        <v/>
      </c>
      <c r="G7" s="70" t="inlineStr">
        <is>
          <t>N</t>
        </is>
      </c>
    </row>
    <row r="8">
      <c r="A8" s="71" t="n">
        <v>46319</v>
      </c>
      <c r="B8" s="72" t="n">
        <v>53199</v>
      </c>
      <c r="C8" s="72" t="n">
        <v>70</v>
      </c>
      <c r="D8" s="72" t="n">
        <v>2670512</v>
      </c>
      <c r="E8" s="7">
        <f>SUMIFS('데이터_SS일별'!$E$2:$E$400,'데이터_SS일별'!$A$2:$A$400,"로지오가닉",'데이터_SS일별'!$B$2:$B$400,A8)</f>
        <v/>
      </c>
      <c r="F8" s="9">
        <f>IF(E8=0,0,D8/E8)</f>
        <v/>
      </c>
      <c r="G8" s="70" t="inlineStr">
        <is>
          <t>Y</t>
        </is>
      </c>
    </row>
    <row r="9">
      <c r="A9" s="71" t="n">
        <v>46320</v>
      </c>
      <c r="B9" s="72" t="n">
        <v>80781</v>
      </c>
      <c r="C9" s="72" t="n">
        <v>108</v>
      </c>
      <c r="D9" s="72" t="n">
        <v>3970440</v>
      </c>
      <c r="E9" s="7">
        <f>SUMIFS('데이터_SS일별'!$E$2:$E$400,'데이터_SS일별'!$A$2:$A$400,"로지오가닉",'데이터_SS일별'!$B$2:$B$400,A9)</f>
        <v/>
      </c>
      <c r="F9" s="9">
        <f>IF(E9=0,0,D9/E9)</f>
        <v/>
      </c>
      <c r="G9" s="70" t="inlineStr">
        <is>
          <t>Y</t>
        </is>
      </c>
    </row>
    <row r="10">
      <c r="A10" s="71" t="n">
        <v>46321</v>
      </c>
      <c r="B10" s="72" t="n">
        <v>18966</v>
      </c>
      <c r="C10" s="72" t="n">
        <v>46</v>
      </c>
      <c r="D10" s="72" t="n">
        <v>1839198</v>
      </c>
      <c r="E10" s="7">
        <f>SUMIFS('데이터_SS일별'!$E$2:$E$400,'데이터_SS일별'!$A$2:$A$400,"로지오가닉",'데이터_SS일별'!$B$2:$B$400,A10)</f>
        <v/>
      </c>
      <c r="F10" s="9">
        <f>IF(E10=0,0,D10/E10)</f>
        <v/>
      </c>
      <c r="G10" s="70" t="inlineStr">
        <is>
          <t>N</t>
        </is>
      </c>
    </row>
    <row r="12">
      <c r="A12" s="42" t="inlineStr">
        <is>
          <t>보정값 (목표 산정용)</t>
        </is>
      </c>
    </row>
    <row r="13">
      <c r="A13" s="5" t="inlineStr">
        <is>
          <t>브랜드</t>
        </is>
      </c>
      <c r="B13" s="5" t="inlineStr">
        <is>
          <t>매체</t>
        </is>
      </c>
      <c r="C13" s="5" t="inlineStr"/>
      <c r="D13" s="5" t="inlineStr">
        <is>
          <t>보정 광고비(원)</t>
        </is>
      </c>
      <c r="E13" s="5" t="inlineStr">
        <is>
          <t>보정 매출(원)</t>
        </is>
      </c>
    </row>
    <row r="14">
      <c r="A14" s="15" t="inlineStr">
        <is>
          <t>로지오가닉</t>
        </is>
      </c>
      <c r="B14" s="15" t="inlineStr">
        <is>
          <t>메타 스스</t>
        </is>
      </c>
      <c r="D14" s="7">
        <f>SUMIFS(B6:B10,G6:G10,"Y")</f>
        <v/>
      </c>
      <c r="E14" s="7">
        <f>SUMIFS(D6:D10,G6:G10,"Y")</f>
        <v/>
      </c>
    </row>
    <row r="15">
      <c r="A15" s="21" t="inlineStr">
        <is>
          <t>이틀 합계 전환값이 같은 이틀 스토어 결제금액(총)의 몇 배인가</t>
        </is>
      </c>
      <c r="D15" s="73">
        <f>IF(SUMIFS(E6:E10,G6:G10,"Y")=0,0,E14/SUMIFS(E6:E10,G6:G10,"Y"))</f>
        <v/>
      </c>
    </row>
    <row r="16" ht="30" customHeight="1">
      <c r="A16" s="2" t="inlineStr">
        <is>
          <t>해석: 같은 이틀 로지 스토어 전체 결제(공구 포함)보다 메타가 보고한 전환값이 큽니다. 실제 주문이 아닌 전환 집계 이슈(협력광고 연동·중복 집계 등) 가능성이 있어 메타·네이버 협력광고 담당에게 확인이 필요합니다. 11~12월 목표 산정에서는 이 이틀을 제외합니다(목표 시트의 보정 스위치).</t>
        </is>
      </c>
    </row>
    <row r="17"/>
    <row r="19">
      <c r="A19" s="3" t="inlineStr">
        <is>
          <t>2. 광고 귀속 매출과 스마트스토어 일반상품 순매출 비교</t>
        </is>
      </c>
    </row>
    <row r="20" ht="44" customHeight="1">
      <c r="A20" s="5" t="inlineStr">
        <is>
          <t>스토어(브랜드)</t>
        </is>
      </c>
      <c r="B20" s="5" t="inlineStr">
        <is>
          <t>스마트스토어 일반상품 순매출(원)</t>
        </is>
      </c>
      <c r="C20" s="5" t="inlineStr">
        <is>
          <t>스스향 광고 귀속 매출(원)</t>
        </is>
      </c>
      <c r="D20" s="5" t="inlineStr">
        <is>
          <t>귀속 매출 ÷ 순매출</t>
        </is>
      </c>
      <c r="E20" s="5" t="inlineStr">
        <is>
          <t>공구 상품 판매(총, 참고, 원)</t>
        </is>
      </c>
      <c r="F20" s="5" t="inlineStr">
        <is>
          <t>공구 비중 (스토어 결제 총액 대비)</t>
        </is>
      </c>
      <c r="G20" s="5" t="inlineStr">
        <is>
          <t>메모</t>
        </is>
      </c>
    </row>
    <row r="21">
      <c r="A21" s="15" t="inlineStr">
        <is>
          <t>아넬라</t>
        </is>
      </c>
      <c r="B21" s="7">
        <f>'주차별_추이'!G17</f>
        <v/>
      </c>
      <c r="C21" s="7">
        <f>'주차별_추이'!G10-SUMIFS('데이터_광고'!$I$2:$I$500,'데이터_광고'!$A$2:$A$500,A21,'데이터_광고'!$B$2:$B$500,"메타 자사몰")</f>
        <v/>
      </c>
      <c r="D21" s="9">
        <f>IF(B21=0,0,C21/B21)</f>
        <v/>
      </c>
      <c r="E21" s="7">
        <f>SUMIFS('데이터_SS일별'!$E$2:$E$400,'데이터_SS일별'!$A$2:$A$400,A21,'데이터_SS일별'!$C$2:$C$400,"공구")</f>
        <v/>
      </c>
      <c r="F21" s="9">
        <f>IF(E21+SUMIFS('데이터_SS일별'!$E$2:$E$400,'데이터_SS일별'!$A$2:$A$400,A21,'데이터_SS일별'!$C$2:$C$400,"일반")=0,0,E21/(E21+SUMIFS('데이터_SS일별'!$E$2:$E$400,'데이터_SS일별'!$A$2:$A$400,A21,'데이터_SS일별'!$C$2:$C$400,"일반")))</f>
        <v/>
      </c>
      <c r="G21" s="21" t="inlineStr">
        <is>
          <t>아넬라 스토어에는 공동구매 상품이 없습니다.</t>
        </is>
      </c>
    </row>
    <row r="22" ht="36" customHeight="1">
      <c r="A22" s="15" t="inlineStr">
        <is>
          <t>로지오가닉</t>
        </is>
      </c>
      <c r="B22" s="7">
        <f>'주차별_추이'!G38</f>
        <v/>
      </c>
      <c r="C22" s="7">
        <f>'주차별_추이'!G31-SUMIFS('데이터_광고'!$I$2:$I$500,'데이터_광고'!$A$2:$A$500,A22,'데이터_광고'!$B$2:$B$500,"메타 자사몰")</f>
        <v/>
      </c>
      <c r="D22" s="9">
        <f>IF(B22=0,0,C22/B22)</f>
        <v/>
      </c>
      <c r="E22" s="7">
        <f>SUMIFS('데이터_SS일별'!$E$2:$E$400,'데이터_SS일별'!$A$2:$A$400,A22,'데이터_SS일별'!$C$2:$C$400,"공구")</f>
        <v/>
      </c>
      <c r="F22" s="9">
        <f>IF(E22+SUMIFS('데이터_SS일별'!$E$2:$E$400,'데이터_SS일별'!$A$2:$A$400,A22,'데이터_SS일별'!$C$2:$C$400,"일반")=0,0,E22/(E22+SUMIFS('데이터_SS일별'!$E$2:$E$400,'데이터_SS일별'!$A$2:$A$400,A22,'데이터_SS일별'!$C$2:$C$400,"일반")))</f>
        <v/>
      </c>
      <c r="G22" s="62" t="inlineStr">
        <is>
          <t>순매출 대비 귀속 매출이 100%에 가까우면 일반상품 매출 대부분이 광고에 귀속된 것이며, 귀속 기준이 달라 100% 초과도 가능합니다.</t>
        </is>
      </c>
    </row>
    <row r="25">
      <c r="A25" s="3" t="inlineStr">
        <is>
          <t>3. 데이터 정합 점검 (0이면 일치)</t>
        </is>
      </c>
    </row>
    <row r="26">
      <c r="A26" s="5" t="inlineStr">
        <is>
          <t>스토어</t>
        </is>
      </c>
      <c r="B26" s="5" t="inlineStr">
        <is>
          <t>일별 시트 일반 순매출</t>
        </is>
      </c>
      <c r="C26" s="5" t="inlineStr">
        <is>
          <t>상품 시트 일반 순매출</t>
        </is>
      </c>
      <c r="D26" s="5" t="inlineStr">
        <is>
          <t>차이</t>
        </is>
      </c>
    </row>
    <row r="27">
      <c r="A27" s="15" t="inlineStr">
        <is>
          <t>아넬라</t>
        </is>
      </c>
      <c r="B27" s="7">
        <f>SUMIFS('데이터_SS일별'!$F$2:$F$400,'데이터_SS일별'!$A$2:$A$400,A27,'데이터_SS일별'!$C$2:$C$400,"일반")</f>
        <v/>
      </c>
      <c r="C27" s="7">
        <f>SUMIFS('데이터_SS상품'!$F$2:$F$600,'데이터_SS상품'!$A$2:$A$600,A27,'데이터_SS상품'!$H$2:$H$600,"일반")</f>
        <v/>
      </c>
      <c r="D27" s="74">
        <f>B27-C27</f>
        <v/>
      </c>
    </row>
    <row r="28">
      <c r="A28" s="15" t="inlineStr">
        <is>
          <t>로지오가닉</t>
        </is>
      </c>
      <c r="B28" s="7">
        <f>SUMIFS('데이터_SS일별'!$F$2:$F$400,'데이터_SS일별'!$A$2:$A$400,A28,'데이터_SS일별'!$C$2:$C$400,"일반")</f>
        <v/>
      </c>
      <c r="C28" s="7">
        <f>SUMIFS('데이터_SS상품'!$F$2:$F$600,'데이터_SS상품'!$A$2:$A$600,A28,'데이터_SS상품'!$H$2:$H$600,"일반")</f>
        <v/>
      </c>
      <c r="D28" s="74">
        <f>B28-C28</f>
        <v/>
      </c>
    </row>
    <row r="31">
      <c r="A31" s="3" t="inlineStr">
        <is>
          <t>4. GFA 귀속 지연 가능성 (광고비 0원인데 매출이 잡힌 그룹)</t>
        </is>
      </c>
    </row>
    <row r="32">
      <c r="A32" s="5" t="inlineStr">
        <is>
          <t>그룹</t>
        </is>
      </c>
      <c r="B32" s="5" t="inlineStr">
        <is>
          <t>광고비(원)</t>
        </is>
      </c>
      <c r="C32" s="5" t="inlineStr">
        <is>
          <t>구매(건)</t>
        </is>
      </c>
      <c r="D32" s="5" t="inlineStr">
        <is>
          <t>매출(원)</t>
        </is>
      </c>
    </row>
    <row r="33">
      <c r="A33" s="15" t="inlineStr">
        <is>
          <t>아넬라_프로모_추석세일</t>
        </is>
      </c>
      <c r="B33" s="7">
        <f>SUMIFS('데이터_광고'!$E$2:$E$500,'데이터_광고'!$C$2:$C$500,A33)</f>
        <v/>
      </c>
      <c r="C33" s="7">
        <f>SUMIFS('데이터_광고'!$H$2:$H$500,'데이터_광고'!$C$2:$C$500,A33)</f>
        <v/>
      </c>
      <c r="D33" s="7">
        <f>SUMIFS('데이터_광고'!$I$2:$I$500,'데이터_광고'!$C$2:$C$500,A33)</f>
        <v/>
      </c>
    </row>
    <row r="34">
      <c r="A34" s="21" t="inlineStr">
        <is>
          <t>추석세일 종료(9/22) 후에도 10월에 구매가 귀속됨. 월 합계에는 포함했고 일별 ROAS는 쓰지 않았습니다.</t>
        </is>
      </c>
    </row>
    <row r="35">
      <c r="A35" s="21" t="inlineStr">
        <is>
          <t>노출 0인 날에도 전환이 잡히므로, 행사 구간 아넬라 GFA 전환 ROAS(주차별_추이 시트)는 실제보다 높을 수 있습니다.</t>
        </is>
      </c>
    </row>
    <row r="36">
      <c r="A36" s="3" t="inlineStr">
        <is>
          <t>5. 기준 확인</t>
        </is>
      </c>
    </row>
    <row r="37" ht="28" customHeight="1">
      <c r="A37" s="4" t="inlineStr">
        <is>
          <t>· 광고비는 리포트 원본 값입니다. 네이버 VAT 포함 여부는 기존 주간·월간 리포트와 같은 방식으로 맞췄으며, 예산표(VAT 미포함)와의 정확한 대응은 확인이 필요합니다.</t>
        </is>
      </c>
    </row>
    <row r="38" ht="28" customHeight="1">
      <c r="A38" s="4" t="inlineStr">
        <is>
          <t>· 매출은 매체가 보고한 구매(구매완료) 귀속 매출이라 스마트스토어 결제금액과 같지 않습니다.</t>
        </is>
      </c>
    </row>
    <row r="39" ht="28" customHeight="1">
      <c r="A39" s="4" t="inlineStr">
        <is>
          <t>· 아넬라 GFA 상시 소재는 10/26~10/28 노출이 없는 날에도 전환이 잡혀 귀속 지연으로 봅니다(사용자 확인).</t>
        </is>
      </c>
    </row>
    <row r="40" ht="28" customHeight="1">
      <c r="A40" s="4" t="inlineStr">
        <is>
          <t>· 자사몰 매출 파일에는 기간이 없어 10월 전체로 보았습니다. 판매합계가 쿠폰·할인 반영 실결제인지, 10/28까지인지 확인이 필요합니다.</t>
        </is>
      </c>
    </row>
  </sheetData>
  <mergeCells count="6">
    <mergeCell ref="A40:G40"/>
    <mergeCell ref="A39:G39"/>
    <mergeCell ref="A38:G38"/>
    <mergeCell ref="A2:G2"/>
    <mergeCell ref="A16:G17"/>
    <mergeCell ref="A37:G3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A1:J9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4" customWidth="1" min="9" max="9"/>
    <col width="8" customWidth="1" min="10" max="10"/>
  </cols>
  <sheetData>
    <row r="1" ht="26" customHeight="1">
      <c r="A1" s="5" t="inlineStr">
        <is>
          <t>브랜드</t>
        </is>
      </c>
      <c r="B1" s="5" t="inlineStr">
        <is>
          <t>매체</t>
        </is>
      </c>
      <c r="C1" s="5" t="inlineStr">
        <is>
          <t>캠페인·광고그룹</t>
        </is>
      </c>
      <c r="D1" s="5" t="inlineStr">
        <is>
          <t>기간</t>
        </is>
      </c>
      <c r="E1" s="5" t="inlineStr">
        <is>
          <t>광고비(원)</t>
        </is>
      </c>
      <c r="F1" s="5" t="inlineStr">
        <is>
          <t>노출</t>
        </is>
      </c>
      <c r="G1" s="5" t="inlineStr">
        <is>
          <t>클릭</t>
        </is>
      </c>
      <c r="H1" s="5" t="inlineStr">
        <is>
          <t>구매</t>
        </is>
      </c>
      <c r="I1" s="5" t="inlineStr">
        <is>
          <t>매출(원)</t>
        </is>
      </c>
      <c r="J1" s="5" t="inlineStr">
        <is>
          <t>구분</t>
        </is>
      </c>
    </row>
    <row r="2">
      <c r="A2" s="75" t="inlineStr">
        <is>
          <t>아넬라</t>
        </is>
      </c>
      <c r="B2" s="75" t="inlineStr">
        <is>
          <t>파워링크</t>
        </is>
      </c>
      <c r="C2" s="75" t="inlineStr">
        <is>
          <t>SA_아넬라 캠페인</t>
        </is>
      </c>
      <c r="D2" s="75" t="inlineStr">
        <is>
          <t>P1</t>
        </is>
      </c>
      <c r="E2" s="76" t="n">
        <v>129552</v>
      </c>
      <c r="F2" s="76" t="n">
        <v>8342</v>
      </c>
      <c r="G2" s="76" t="n">
        <v>129</v>
      </c>
      <c r="H2" s="76" t="n">
        <v>8</v>
      </c>
      <c r="I2" s="76" t="n">
        <v>372270</v>
      </c>
      <c r="J2" s="75">
        <f>INDEX('가정'!$E$50:$E$54,MATCH(D2,'가정'!$A$50:$A$54,0))</f>
        <v/>
      </c>
    </row>
    <row r="3">
      <c r="A3" s="75" t="inlineStr">
        <is>
          <t>아넬라</t>
        </is>
      </c>
      <c r="B3" s="75" t="inlineStr">
        <is>
          <t>파워링크</t>
        </is>
      </c>
      <c r="C3" s="75" t="inlineStr">
        <is>
          <t>SA_아넬라 캠페인</t>
        </is>
      </c>
      <c r="D3" s="75" t="inlineStr">
        <is>
          <t>P2</t>
        </is>
      </c>
      <c r="E3" s="76" t="n">
        <v>247256</v>
      </c>
      <c r="F3" s="76" t="n">
        <v>17572</v>
      </c>
      <c r="G3" s="76" t="n">
        <v>246</v>
      </c>
      <c r="H3" s="76" t="n">
        <v>15</v>
      </c>
      <c r="I3" s="76" t="n">
        <v>553300</v>
      </c>
      <c r="J3" s="75">
        <f>INDEX('가정'!$E$50:$E$54,MATCH(D3,'가정'!$A$50:$A$54,0))</f>
        <v/>
      </c>
    </row>
    <row r="4">
      <c r="A4" s="75" t="inlineStr">
        <is>
          <t>아넬라</t>
        </is>
      </c>
      <c r="B4" s="75" t="inlineStr">
        <is>
          <t>파워링크</t>
        </is>
      </c>
      <c r="C4" s="75" t="inlineStr">
        <is>
          <t>SA_아넬라 캠페인</t>
        </is>
      </c>
      <c r="D4" s="75" t="inlineStr">
        <is>
          <t>P3</t>
        </is>
      </c>
      <c r="E4" s="76" t="n">
        <v>170181</v>
      </c>
      <c r="F4" s="76" t="n">
        <v>15888</v>
      </c>
      <c r="G4" s="76" t="n">
        <v>179</v>
      </c>
      <c r="H4" s="76" t="n">
        <v>34</v>
      </c>
      <c r="I4" s="76" t="n">
        <v>1590800</v>
      </c>
      <c r="J4" s="75">
        <f>INDEX('가정'!$E$50:$E$54,MATCH(D4,'가정'!$A$50:$A$54,0))</f>
        <v/>
      </c>
    </row>
    <row r="5">
      <c r="A5" s="75" t="inlineStr">
        <is>
          <t>아넬라</t>
        </is>
      </c>
      <c r="B5" s="75" t="inlineStr">
        <is>
          <t>파워링크</t>
        </is>
      </c>
      <c r="C5" s="75" t="inlineStr">
        <is>
          <t>SA_아넬라 캠페인</t>
        </is>
      </c>
      <c r="D5" s="75" t="inlineStr">
        <is>
          <t>P4</t>
        </is>
      </c>
      <c r="E5" s="76" t="n">
        <v>105149</v>
      </c>
      <c r="F5" s="76" t="n">
        <v>7592</v>
      </c>
      <c r="G5" s="76" t="n">
        <v>102</v>
      </c>
      <c r="H5" s="76" t="n">
        <v>14</v>
      </c>
      <c r="I5" s="76" t="n">
        <v>429000</v>
      </c>
      <c r="J5" s="75">
        <f>INDEX('가정'!$E$50:$E$54,MATCH(D5,'가정'!$A$50:$A$54,0))</f>
        <v/>
      </c>
    </row>
    <row r="6">
      <c r="A6" s="75" t="inlineStr">
        <is>
          <t>아넬라</t>
        </is>
      </c>
      <c r="B6" s="75" t="inlineStr">
        <is>
          <t>파워링크</t>
        </is>
      </c>
      <c r="C6" s="75" t="inlineStr">
        <is>
          <t>SA_아넬라 캠페인</t>
        </is>
      </c>
      <c r="D6" s="75" t="inlineStr">
        <is>
          <t>P5</t>
        </is>
      </c>
      <c r="E6" s="76" t="n">
        <v>59385</v>
      </c>
      <c r="F6" s="76" t="n">
        <v>5658</v>
      </c>
      <c r="G6" s="76" t="n">
        <v>65</v>
      </c>
      <c r="H6" s="76" t="n">
        <v>15</v>
      </c>
      <c r="I6" s="76" t="n">
        <v>590900</v>
      </c>
      <c r="J6" s="75">
        <f>INDEX('가정'!$E$50:$E$54,MATCH(D6,'가정'!$A$50:$A$54,0))</f>
        <v/>
      </c>
    </row>
    <row r="7">
      <c r="A7" s="75" t="inlineStr">
        <is>
          <t>아넬라</t>
        </is>
      </c>
      <c r="B7" s="75" t="inlineStr">
        <is>
          <t>쇼핑검색</t>
        </is>
      </c>
      <c r="C7" s="75" t="inlineStr">
        <is>
          <t>SSA_아넬라_과자(떡뻥) 캠페인</t>
        </is>
      </c>
      <c r="D7" s="75" t="inlineStr">
        <is>
          <t>P1</t>
        </is>
      </c>
      <c r="E7" s="76" t="n">
        <v>84453</v>
      </c>
      <c r="F7" s="76" t="n">
        <v>2877</v>
      </c>
      <c r="G7" s="76" t="n">
        <v>56</v>
      </c>
      <c r="H7" s="76" t="n">
        <v>7</v>
      </c>
      <c r="I7" s="76" t="n">
        <v>133600</v>
      </c>
      <c r="J7" s="75">
        <f>INDEX('가정'!$E$50:$E$54,MATCH(D7,'가정'!$A$50:$A$54,0))</f>
        <v/>
      </c>
    </row>
    <row r="8">
      <c r="A8" s="75" t="inlineStr">
        <is>
          <t>아넬라</t>
        </is>
      </c>
      <c r="B8" s="75" t="inlineStr">
        <is>
          <t>쇼핑검색</t>
        </is>
      </c>
      <c r="C8" s="75" t="inlineStr">
        <is>
          <t>SSA_아넬라_과자(떡뻥) 캠페인</t>
        </is>
      </c>
      <c r="D8" s="75" t="inlineStr">
        <is>
          <t>P2</t>
        </is>
      </c>
      <c r="E8" s="76" t="n">
        <v>134690</v>
      </c>
      <c r="F8" s="76" t="n">
        <v>5417</v>
      </c>
      <c r="G8" s="76" t="n">
        <v>91</v>
      </c>
      <c r="H8" s="76" t="n">
        <v>5</v>
      </c>
      <c r="I8" s="76" t="n">
        <v>128400</v>
      </c>
      <c r="J8" s="75">
        <f>INDEX('가정'!$E$50:$E$54,MATCH(D8,'가정'!$A$50:$A$54,0))</f>
        <v/>
      </c>
    </row>
    <row r="9">
      <c r="A9" s="75" t="inlineStr">
        <is>
          <t>아넬라</t>
        </is>
      </c>
      <c r="B9" s="75" t="inlineStr">
        <is>
          <t>쇼핑검색</t>
        </is>
      </c>
      <c r="C9" s="75" t="inlineStr">
        <is>
          <t>SSA_아넬라_과자(떡뻥) 캠페인</t>
        </is>
      </c>
      <c r="D9" s="75" t="inlineStr">
        <is>
          <t>P3</t>
        </is>
      </c>
      <c r="E9" s="76" t="n">
        <v>207641</v>
      </c>
      <c r="F9" s="76" t="n">
        <v>8201</v>
      </c>
      <c r="G9" s="76" t="n">
        <v>142</v>
      </c>
      <c r="H9" s="76" t="n">
        <v>26</v>
      </c>
      <c r="I9" s="76" t="n">
        <v>573430</v>
      </c>
      <c r="J9" s="75">
        <f>INDEX('가정'!$E$50:$E$54,MATCH(D9,'가정'!$A$50:$A$54,0))</f>
        <v/>
      </c>
    </row>
    <row r="10">
      <c r="A10" s="75" t="inlineStr">
        <is>
          <t>아넬라</t>
        </is>
      </c>
      <c r="B10" s="75" t="inlineStr">
        <is>
          <t>쇼핑검색</t>
        </is>
      </c>
      <c r="C10" s="75" t="inlineStr">
        <is>
          <t>SSA_아넬라_과자(떡뻥) 캠페인</t>
        </is>
      </c>
      <c r="D10" s="75" t="inlineStr">
        <is>
          <t>P4</t>
        </is>
      </c>
      <c r="E10" s="76" t="n">
        <v>281505</v>
      </c>
      <c r="F10" s="76" t="n">
        <v>11447</v>
      </c>
      <c r="G10" s="76" t="n">
        <v>195</v>
      </c>
      <c r="H10" s="76" t="n">
        <v>21</v>
      </c>
      <c r="I10" s="76" t="n">
        <v>443200</v>
      </c>
      <c r="J10" s="75">
        <f>INDEX('가정'!$E$50:$E$54,MATCH(D10,'가정'!$A$50:$A$54,0))</f>
        <v/>
      </c>
    </row>
    <row r="11">
      <c r="A11" s="75" t="inlineStr">
        <is>
          <t>아넬라</t>
        </is>
      </c>
      <c r="B11" s="75" t="inlineStr">
        <is>
          <t>쇼핑검색</t>
        </is>
      </c>
      <c r="C11" s="75" t="inlineStr">
        <is>
          <t>SSA_아넬라_과자(떡뻥) 캠페인</t>
        </is>
      </c>
      <c r="D11" s="75" t="inlineStr">
        <is>
          <t>P5</t>
        </is>
      </c>
      <c r="E11" s="76" t="n">
        <v>136053</v>
      </c>
      <c r="F11" s="76" t="n">
        <v>4428</v>
      </c>
      <c r="G11" s="76" t="n">
        <v>101</v>
      </c>
      <c r="H11" s="76" t="n">
        <v>25</v>
      </c>
      <c r="I11" s="76" t="n">
        <v>538020</v>
      </c>
      <c r="J11" s="75">
        <f>INDEX('가정'!$E$50:$E$54,MATCH(D11,'가정'!$A$50:$A$54,0))</f>
        <v/>
      </c>
    </row>
    <row r="12">
      <c r="A12" s="75" t="inlineStr">
        <is>
          <t>아넬라</t>
        </is>
      </c>
      <c r="B12" s="75" t="inlineStr">
        <is>
          <t>쇼핑검색</t>
        </is>
      </c>
      <c r="C12" s="75" t="inlineStr">
        <is>
          <t>SSA_아넬라_퓨레 캠페인</t>
        </is>
      </c>
      <c r="D12" s="75" t="inlineStr">
        <is>
          <t>P1</t>
        </is>
      </c>
      <c r="E12" s="76" t="n">
        <v>296534</v>
      </c>
      <c r="F12" s="76" t="n">
        <v>58191</v>
      </c>
      <c r="G12" s="76" t="n">
        <v>299</v>
      </c>
      <c r="H12" s="76" t="n">
        <v>33</v>
      </c>
      <c r="I12" s="76" t="n">
        <v>1452600</v>
      </c>
      <c r="J12" s="75">
        <f>INDEX('가정'!$E$50:$E$54,MATCH(D12,'가정'!$A$50:$A$54,0))</f>
        <v/>
      </c>
    </row>
    <row r="13">
      <c r="A13" s="75" t="inlineStr">
        <is>
          <t>아넬라</t>
        </is>
      </c>
      <c r="B13" s="75" t="inlineStr">
        <is>
          <t>쇼핑검색</t>
        </is>
      </c>
      <c r="C13" s="75" t="inlineStr">
        <is>
          <t>SSA_아넬라_퓨레 캠페인</t>
        </is>
      </c>
      <c r="D13" s="75" t="inlineStr">
        <is>
          <t>P2</t>
        </is>
      </c>
      <c r="E13" s="76" t="n">
        <v>621434</v>
      </c>
      <c r="F13" s="76" t="n">
        <v>215744</v>
      </c>
      <c r="G13" s="76" t="n">
        <v>625</v>
      </c>
      <c r="H13" s="76" t="n">
        <v>86</v>
      </c>
      <c r="I13" s="76" t="n">
        <v>3577300</v>
      </c>
      <c r="J13" s="75">
        <f>INDEX('가정'!$E$50:$E$54,MATCH(D13,'가정'!$A$50:$A$54,0))</f>
        <v/>
      </c>
    </row>
    <row r="14">
      <c r="A14" s="75" t="inlineStr">
        <is>
          <t>아넬라</t>
        </is>
      </c>
      <c r="B14" s="75" t="inlineStr">
        <is>
          <t>쇼핑검색</t>
        </is>
      </c>
      <c r="C14" s="75" t="inlineStr">
        <is>
          <t>SSA_아넬라_퓨레 캠페인</t>
        </is>
      </c>
      <c r="D14" s="75" t="inlineStr">
        <is>
          <t>P3</t>
        </is>
      </c>
      <c r="E14" s="76" t="n">
        <v>528865</v>
      </c>
      <c r="F14" s="76" t="n">
        <v>283711</v>
      </c>
      <c r="G14" s="76" t="n">
        <v>601</v>
      </c>
      <c r="H14" s="76" t="n">
        <v>153</v>
      </c>
      <c r="I14" s="76" t="n">
        <v>7024890</v>
      </c>
      <c r="J14" s="75">
        <f>INDEX('가정'!$E$50:$E$54,MATCH(D14,'가정'!$A$50:$A$54,0))</f>
        <v/>
      </c>
    </row>
    <row r="15">
      <c r="A15" s="75" t="inlineStr">
        <is>
          <t>아넬라</t>
        </is>
      </c>
      <c r="B15" s="75" t="inlineStr">
        <is>
          <t>쇼핑검색</t>
        </is>
      </c>
      <c r="C15" s="75" t="inlineStr">
        <is>
          <t>SSA_아넬라_퓨레 캠페인</t>
        </is>
      </c>
      <c r="D15" s="75" t="inlineStr">
        <is>
          <t>P4</t>
        </is>
      </c>
      <c r="E15" s="76" t="n">
        <v>485174</v>
      </c>
      <c r="F15" s="76" t="n">
        <v>283631</v>
      </c>
      <c r="G15" s="76" t="n">
        <v>531</v>
      </c>
      <c r="H15" s="76" t="n">
        <v>56</v>
      </c>
      <c r="I15" s="76" t="n">
        <v>2377600</v>
      </c>
      <c r="J15" s="75">
        <f>INDEX('가정'!$E$50:$E$54,MATCH(D15,'가정'!$A$50:$A$54,0))</f>
        <v/>
      </c>
    </row>
    <row r="16">
      <c r="A16" s="75" t="inlineStr">
        <is>
          <t>아넬라</t>
        </is>
      </c>
      <c r="B16" s="75" t="inlineStr">
        <is>
          <t>쇼핑검색</t>
        </is>
      </c>
      <c r="C16" s="75" t="inlineStr">
        <is>
          <t>SSA_아넬라_퓨레 캠페인</t>
        </is>
      </c>
      <c r="D16" s="75" t="inlineStr">
        <is>
          <t>P5</t>
        </is>
      </c>
      <c r="E16" s="76" t="n">
        <v>379196</v>
      </c>
      <c r="F16" s="76" t="n">
        <v>188866</v>
      </c>
      <c r="G16" s="76" t="n">
        <v>409</v>
      </c>
      <c r="H16" s="76" t="n">
        <v>92</v>
      </c>
      <c r="I16" s="76" t="n">
        <v>4166290</v>
      </c>
      <c r="J16" s="75">
        <f>INDEX('가정'!$E$50:$E$54,MATCH(D16,'가정'!$A$50:$A$54,0))</f>
        <v/>
      </c>
    </row>
    <row r="17">
      <c r="A17" s="75" t="inlineStr">
        <is>
          <t>아넬라</t>
        </is>
      </c>
      <c r="B17" s="75" t="inlineStr">
        <is>
          <t>브랜드검색</t>
        </is>
      </c>
      <c r="C17" s="75" t="inlineStr">
        <is>
          <t>아넬라_브검_모바일</t>
        </is>
      </c>
      <c r="D17" s="75" t="inlineStr">
        <is>
          <t>P1</t>
        </is>
      </c>
      <c r="E17" s="77">
        <f>'가정'!$B$38*INDEX('가정'!$D$50:$D$54,MATCH(D17,'가정'!$A$50:$A$54,0))</f>
        <v/>
      </c>
      <c r="F17" s="76" t="n">
        <v>517</v>
      </c>
      <c r="G17" s="76" t="n">
        <v>192</v>
      </c>
      <c r="H17" s="76" t="n">
        <v>36</v>
      </c>
      <c r="I17" s="76" t="n">
        <v>1920190</v>
      </c>
      <c r="J17" s="75">
        <f>INDEX('가정'!$E$50:$E$54,MATCH(D17,'가정'!$A$50:$A$54,0))</f>
        <v/>
      </c>
    </row>
    <row r="18">
      <c r="A18" s="75" t="inlineStr">
        <is>
          <t>아넬라</t>
        </is>
      </c>
      <c r="B18" s="75" t="inlineStr">
        <is>
          <t>브랜드검색</t>
        </is>
      </c>
      <c r="C18" s="75" t="inlineStr">
        <is>
          <t>아넬라_브검_모바일</t>
        </is>
      </c>
      <c r="D18" s="75" t="inlineStr">
        <is>
          <t>P2</t>
        </is>
      </c>
      <c r="E18" s="77">
        <f>'가정'!$B$38*INDEX('가정'!$D$50:$D$54,MATCH(D18,'가정'!$A$50:$A$54,0))</f>
        <v/>
      </c>
      <c r="F18" s="76" t="n">
        <v>1019</v>
      </c>
      <c r="G18" s="76" t="n">
        <v>438</v>
      </c>
      <c r="H18" s="76" t="n">
        <v>69</v>
      </c>
      <c r="I18" s="76" t="n">
        <v>2968600</v>
      </c>
      <c r="J18" s="75">
        <f>INDEX('가정'!$E$50:$E$54,MATCH(D18,'가정'!$A$50:$A$54,0))</f>
        <v/>
      </c>
    </row>
    <row r="19">
      <c r="A19" s="75" t="inlineStr">
        <is>
          <t>아넬라</t>
        </is>
      </c>
      <c r="B19" s="75" t="inlineStr">
        <is>
          <t>브랜드검색</t>
        </is>
      </c>
      <c r="C19" s="75" t="inlineStr">
        <is>
          <t>아넬라_브검_모바일</t>
        </is>
      </c>
      <c r="D19" s="75" t="inlineStr">
        <is>
          <t>P3</t>
        </is>
      </c>
      <c r="E19" s="77">
        <f>'가정'!$B$38*INDEX('가정'!$D$50:$D$54,MATCH(D19,'가정'!$A$50:$A$54,0))</f>
        <v/>
      </c>
      <c r="F19" s="76" t="n">
        <v>1177</v>
      </c>
      <c r="G19" s="76" t="n">
        <v>621</v>
      </c>
      <c r="H19" s="76" t="n">
        <v>218</v>
      </c>
      <c r="I19" s="76" t="n">
        <v>10766370</v>
      </c>
      <c r="J19" s="75">
        <f>INDEX('가정'!$E$50:$E$54,MATCH(D19,'가정'!$A$50:$A$54,0))</f>
        <v/>
      </c>
    </row>
    <row r="20">
      <c r="A20" s="75" t="inlineStr">
        <is>
          <t>아넬라</t>
        </is>
      </c>
      <c r="B20" s="75" t="inlineStr">
        <is>
          <t>브랜드검색</t>
        </is>
      </c>
      <c r="C20" s="75" t="inlineStr">
        <is>
          <t>아넬라_브검_모바일</t>
        </is>
      </c>
      <c r="D20" s="75" t="inlineStr">
        <is>
          <t>P4</t>
        </is>
      </c>
      <c r="E20" s="77">
        <f>'가정'!$B$38*INDEX('가정'!$D$50:$D$54,MATCH(D20,'가정'!$A$50:$A$54,0))</f>
        <v/>
      </c>
      <c r="F20" s="76" t="n">
        <v>933</v>
      </c>
      <c r="G20" s="76" t="n">
        <v>464</v>
      </c>
      <c r="H20" s="76" t="n">
        <v>80</v>
      </c>
      <c r="I20" s="76" t="n">
        <v>3431850</v>
      </c>
      <c r="J20" s="75">
        <f>INDEX('가정'!$E$50:$E$54,MATCH(D20,'가정'!$A$50:$A$54,0))</f>
        <v/>
      </c>
    </row>
    <row r="21">
      <c r="A21" s="75" t="inlineStr">
        <is>
          <t>아넬라</t>
        </is>
      </c>
      <c r="B21" s="75" t="inlineStr">
        <is>
          <t>브랜드검색</t>
        </is>
      </c>
      <c r="C21" s="75" t="inlineStr">
        <is>
          <t>아넬라_브검_모바일</t>
        </is>
      </c>
      <c r="D21" s="75" t="inlineStr">
        <is>
          <t>P5</t>
        </is>
      </c>
      <c r="E21" s="77">
        <f>'가정'!$B$38*INDEX('가정'!$D$50:$D$54,MATCH(D21,'가정'!$A$50:$A$54,0))</f>
        <v/>
      </c>
      <c r="F21" s="76" t="n">
        <v>465</v>
      </c>
      <c r="G21" s="76" t="n">
        <v>246</v>
      </c>
      <c r="H21" s="76" t="n">
        <v>117</v>
      </c>
      <c r="I21" s="76" t="n">
        <v>5729640</v>
      </c>
      <c r="J21" s="75">
        <f>INDEX('가정'!$E$50:$E$54,MATCH(D21,'가정'!$A$50:$A$54,0))</f>
        <v/>
      </c>
    </row>
    <row r="22">
      <c r="A22" s="75" t="inlineStr">
        <is>
          <t>아넬라</t>
        </is>
      </c>
      <c r="B22" s="75" t="inlineStr">
        <is>
          <t>GFA 카탈로그</t>
        </is>
      </c>
      <c r="C22" s="75" t="inlineStr">
        <is>
          <t>2601_카탈로그_아넬라</t>
        </is>
      </c>
      <c r="D22" s="75" t="inlineStr">
        <is>
          <t>P1</t>
        </is>
      </c>
      <c r="E22" s="76" t="n">
        <v>26396</v>
      </c>
      <c r="F22" s="76" t="n">
        <v>1509</v>
      </c>
      <c r="G22" s="76" t="n">
        <v>19</v>
      </c>
      <c r="H22" s="76" t="n">
        <v>1</v>
      </c>
      <c r="I22" s="76" t="n">
        <v>59500</v>
      </c>
      <c r="J22" s="75">
        <f>INDEX('가정'!$E$50:$E$54,MATCH(D22,'가정'!$A$50:$A$54,0))</f>
        <v/>
      </c>
    </row>
    <row r="23">
      <c r="A23" s="75" t="inlineStr">
        <is>
          <t>아넬라</t>
        </is>
      </c>
      <c r="B23" s="75" t="inlineStr">
        <is>
          <t>GFA 카탈로그</t>
        </is>
      </c>
      <c r="C23" s="75" t="inlineStr">
        <is>
          <t>2601_카탈로그_아넬라</t>
        </is>
      </c>
      <c r="D23" s="75" t="inlineStr">
        <is>
          <t>P2</t>
        </is>
      </c>
      <c r="E23" s="76" t="n">
        <v>47509</v>
      </c>
      <c r="F23" s="76" t="n">
        <v>2430</v>
      </c>
      <c r="G23" s="76" t="n">
        <v>33</v>
      </c>
      <c r="H23" s="76" t="n">
        <v>3</v>
      </c>
      <c r="I23" s="76" t="n">
        <v>64000</v>
      </c>
      <c r="J23" s="75">
        <f>INDEX('가정'!$E$50:$E$54,MATCH(D23,'가정'!$A$50:$A$54,0))</f>
        <v/>
      </c>
    </row>
    <row r="24">
      <c r="A24" s="75" t="inlineStr">
        <is>
          <t>아넬라</t>
        </is>
      </c>
      <c r="B24" s="75" t="inlineStr">
        <is>
          <t>GFA 카탈로그</t>
        </is>
      </c>
      <c r="C24" s="75" t="inlineStr">
        <is>
          <t>2601_카탈로그_아넬라</t>
        </is>
      </c>
      <c r="D24" s="75" t="inlineStr">
        <is>
          <t>P3</t>
        </is>
      </c>
      <c r="E24" s="76" t="n">
        <v>45677</v>
      </c>
      <c r="F24" s="76" t="n">
        <v>3400</v>
      </c>
      <c r="G24" s="76" t="n">
        <v>41</v>
      </c>
      <c r="H24" s="76" t="n">
        <v>12</v>
      </c>
      <c r="I24" s="76" t="n">
        <v>663400</v>
      </c>
      <c r="J24" s="75">
        <f>INDEX('가정'!$E$50:$E$54,MATCH(D24,'가정'!$A$50:$A$54,0))</f>
        <v/>
      </c>
    </row>
    <row r="25">
      <c r="A25" s="75" t="inlineStr">
        <is>
          <t>아넬라</t>
        </is>
      </c>
      <c r="B25" s="75" t="inlineStr">
        <is>
          <t>GFA 카탈로그</t>
        </is>
      </c>
      <c r="C25" s="75" t="inlineStr">
        <is>
          <t>2601_카탈로그_아넬라</t>
        </is>
      </c>
      <c r="D25" s="75" t="inlineStr">
        <is>
          <t>P4</t>
        </is>
      </c>
      <c r="E25" s="76" t="n">
        <v>49626</v>
      </c>
      <c r="F25" s="76" t="n">
        <v>2855</v>
      </c>
      <c r="G25" s="76" t="n">
        <v>41</v>
      </c>
      <c r="H25" s="76" t="n">
        <v>3</v>
      </c>
      <c r="I25" s="76" t="n">
        <v>213100</v>
      </c>
      <c r="J25" s="75">
        <f>INDEX('가정'!$E$50:$E$54,MATCH(D25,'가정'!$A$50:$A$54,0))</f>
        <v/>
      </c>
    </row>
    <row r="26">
      <c r="A26" s="75" t="inlineStr">
        <is>
          <t>아넬라</t>
        </is>
      </c>
      <c r="B26" s="75" t="inlineStr">
        <is>
          <t>GFA 카탈로그</t>
        </is>
      </c>
      <c r="C26" s="75" t="inlineStr">
        <is>
          <t>2601_카탈로그_아넬라</t>
        </is>
      </c>
      <c r="D26" s="75" t="inlineStr">
        <is>
          <t>P5</t>
        </is>
      </c>
      <c r="E26" s="76" t="n">
        <v>23457</v>
      </c>
      <c r="F26" s="76" t="n">
        <v>2042</v>
      </c>
      <c r="G26" s="76" t="n">
        <v>25</v>
      </c>
      <c r="H26" s="76" t="n">
        <v>8</v>
      </c>
      <c r="I26" s="76" t="n">
        <v>370900</v>
      </c>
      <c r="J26" s="75">
        <f>INDEX('가정'!$E$50:$E$54,MATCH(D26,'가정'!$A$50:$A$54,0))</f>
        <v/>
      </c>
    </row>
    <row r="27">
      <c r="A27" s="75" t="inlineStr">
        <is>
          <t>아넬라</t>
        </is>
      </c>
      <c r="B27" s="75" t="inlineStr">
        <is>
          <t>GFA 전환</t>
        </is>
      </c>
      <c r="C27" s="75" t="inlineStr">
        <is>
          <t>넾다세일</t>
        </is>
      </c>
      <c r="D27" s="75" t="inlineStr">
        <is>
          <t>P5</t>
        </is>
      </c>
      <c r="E27" s="76" t="n">
        <v>149681</v>
      </c>
      <c r="F27" s="76" t="n">
        <v>7995</v>
      </c>
      <c r="G27" s="76" t="n">
        <v>126</v>
      </c>
      <c r="H27" s="76" t="n">
        <v>15</v>
      </c>
      <c r="I27" s="76" t="n">
        <v>688400</v>
      </c>
      <c r="J27" s="75">
        <f>INDEX('가정'!$E$50:$E$54,MATCH(D27,'가정'!$A$50:$A$54,0))</f>
        <v/>
      </c>
    </row>
    <row r="28">
      <c r="A28" s="75" t="inlineStr">
        <is>
          <t>아넬라</t>
        </is>
      </c>
      <c r="B28" s="75" t="inlineStr">
        <is>
          <t>GFA 전환</t>
        </is>
      </c>
      <c r="C28" s="75" t="inlineStr">
        <is>
          <t>아넬라_상시_테스트 운영</t>
        </is>
      </c>
      <c r="D28" s="75" t="inlineStr">
        <is>
          <t>P1</t>
        </is>
      </c>
      <c r="E28" s="76" t="n">
        <v>186378</v>
      </c>
      <c r="F28" s="76" t="n">
        <v>14093</v>
      </c>
      <c r="G28" s="76" t="n">
        <v>264</v>
      </c>
      <c r="H28" s="76" t="n">
        <v>11</v>
      </c>
      <c r="I28" s="76" t="n">
        <v>554900</v>
      </c>
      <c r="J28" s="75">
        <f>INDEX('가정'!$E$50:$E$54,MATCH(D28,'가정'!$A$50:$A$54,0))</f>
        <v/>
      </c>
    </row>
    <row r="29">
      <c r="A29" s="75" t="inlineStr">
        <is>
          <t>아넬라</t>
        </is>
      </c>
      <c r="B29" s="75" t="inlineStr">
        <is>
          <t>GFA 전환</t>
        </is>
      </c>
      <c r="C29" s="75" t="inlineStr">
        <is>
          <t>아넬라_상시_테스트 운영</t>
        </is>
      </c>
      <c r="D29" s="75" t="inlineStr">
        <is>
          <t>P2</t>
        </is>
      </c>
      <c r="E29" s="76" t="n">
        <v>329300</v>
      </c>
      <c r="F29" s="76" t="n">
        <v>22665</v>
      </c>
      <c r="G29" s="76" t="n">
        <v>469</v>
      </c>
      <c r="H29" s="76" t="n">
        <v>31</v>
      </c>
      <c r="I29" s="76" t="n">
        <v>1334300</v>
      </c>
      <c r="J29" s="75">
        <f>INDEX('가정'!$E$50:$E$54,MATCH(D29,'가정'!$A$50:$A$54,0))</f>
        <v/>
      </c>
    </row>
    <row r="30">
      <c r="A30" s="75" t="inlineStr">
        <is>
          <t>아넬라</t>
        </is>
      </c>
      <c r="B30" s="75" t="inlineStr">
        <is>
          <t>GFA 전환</t>
        </is>
      </c>
      <c r="C30" s="75" t="inlineStr">
        <is>
          <t>아넬라_상시_테스트 운영</t>
        </is>
      </c>
      <c r="D30" s="75" t="inlineStr">
        <is>
          <t>P3</t>
        </is>
      </c>
      <c r="E30" s="76" t="n">
        <v>328368</v>
      </c>
      <c r="F30" s="76" t="n">
        <v>27380</v>
      </c>
      <c r="G30" s="76" t="n">
        <v>503</v>
      </c>
      <c r="H30" s="76" t="n">
        <v>130</v>
      </c>
      <c r="I30" s="76" t="n">
        <v>6994890</v>
      </c>
      <c r="J30" s="75">
        <f>INDEX('가정'!$E$50:$E$54,MATCH(D30,'가정'!$A$50:$A$54,0))</f>
        <v/>
      </c>
    </row>
    <row r="31">
      <c r="A31" s="75" t="inlineStr">
        <is>
          <t>아넬라</t>
        </is>
      </c>
      <c r="B31" s="75" t="inlineStr">
        <is>
          <t>GFA 전환</t>
        </is>
      </c>
      <c r="C31" s="75" t="inlineStr">
        <is>
          <t>아넬라_상시_테스트 운영</t>
        </is>
      </c>
      <c r="D31" s="75" t="inlineStr">
        <is>
          <t>P4</t>
        </is>
      </c>
      <c r="E31" s="76" t="n">
        <v>342513</v>
      </c>
      <c r="F31" s="76" t="n">
        <v>25701</v>
      </c>
      <c r="G31" s="76" t="n">
        <v>437</v>
      </c>
      <c r="H31" s="76" t="n">
        <v>30</v>
      </c>
      <c r="I31" s="76" t="n">
        <v>1303500</v>
      </c>
      <c r="J31" s="75">
        <f>INDEX('가정'!$E$50:$E$54,MATCH(D31,'가정'!$A$50:$A$54,0))</f>
        <v/>
      </c>
    </row>
    <row r="32">
      <c r="A32" s="75" t="inlineStr">
        <is>
          <t>아넬라</t>
        </is>
      </c>
      <c r="B32" s="75" t="inlineStr">
        <is>
          <t>GFA 전환</t>
        </is>
      </c>
      <c r="C32" s="75" t="inlineStr">
        <is>
          <t>아넬라_상시_테스트 운영</t>
        </is>
      </c>
      <c r="D32" s="75" t="inlineStr">
        <is>
          <t>P5</t>
        </is>
      </c>
      <c r="E32" s="76" t="n">
        <v>14314</v>
      </c>
      <c r="F32" s="76" t="n">
        <v>1222</v>
      </c>
      <c r="G32" s="76" t="n">
        <v>22</v>
      </c>
      <c r="H32" s="76" t="n">
        <v>57</v>
      </c>
      <c r="I32" s="76" t="n">
        <v>2788170</v>
      </c>
      <c r="J32" s="75">
        <f>INDEX('가정'!$E$50:$E$54,MATCH(D32,'가정'!$A$50:$A$54,0))</f>
        <v/>
      </c>
    </row>
    <row r="33">
      <c r="A33" s="75" t="inlineStr">
        <is>
          <t>아넬라</t>
        </is>
      </c>
      <c r="B33" s="75" t="inlineStr">
        <is>
          <t>GFA 전환</t>
        </is>
      </c>
      <c r="C33" s="75" t="inlineStr">
        <is>
          <t>아넬라_신규타겟_소구5종</t>
        </is>
      </c>
      <c r="D33" s="75" t="inlineStr">
        <is>
          <t>P3</t>
        </is>
      </c>
      <c r="E33" s="76" t="n">
        <v>117360</v>
      </c>
      <c r="F33" s="76" t="n">
        <v>42359</v>
      </c>
      <c r="G33" s="76" t="n">
        <v>160</v>
      </c>
      <c r="H33" s="76" t="n">
        <v>1</v>
      </c>
      <c r="I33" s="76" t="n">
        <v>53900</v>
      </c>
      <c r="J33" s="75">
        <f>INDEX('가정'!$E$50:$E$54,MATCH(D33,'가정'!$A$50:$A$54,0))</f>
        <v/>
      </c>
    </row>
    <row r="34">
      <c r="A34" s="75" t="inlineStr">
        <is>
          <t>아넬라</t>
        </is>
      </c>
      <c r="B34" s="75" t="inlineStr">
        <is>
          <t>GFA 전환</t>
        </is>
      </c>
      <c r="C34" s="75" t="inlineStr">
        <is>
          <t>아넬라_프로모_추석세일</t>
        </is>
      </c>
      <c r="D34" s="75" t="inlineStr">
        <is>
          <t>P1</t>
        </is>
      </c>
      <c r="E34" s="76" t="n">
        <v>0</v>
      </c>
      <c r="F34" s="76" t="n">
        <v>0</v>
      </c>
      <c r="G34" s="76" t="n">
        <v>0</v>
      </c>
      <c r="H34" s="76" t="n">
        <v>6</v>
      </c>
      <c r="I34" s="76" t="n">
        <v>181200</v>
      </c>
      <c r="J34" s="75">
        <f>INDEX('가정'!$E$50:$E$54,MATCH(D34,'가정'!$A$50:$A$54,0))</f>
        <v/>
      </c>
    </row>
    <row r="35">
      <c r="A35" s="75" t="inlineStr">
        <is>
          <t>아넬라</t>
        </is>
      </c>
      <c r="B35" s="75" t="inlineStr">
        <is>
          <t>GFA 전환</t>
        </is>
      </c>
      <c r="C35" s="75" t="inlineStr">
        <is>
          <t>아넬라_프로모_추석세일</t>
        </is>
      </c>
      <c r="D35" s="75" t="inlineStr">
        <is>
          <t>P2</t>
        </is>
      </c>
      <c r="E35" s="76" t="n">
        <v>0</v>
      </c>
      <c r="F35" s="76" t="n">
        <v>0</v>
      </c>
      <c r="G35" s="76" t="n">
        <v>0</v>
      </c>
      <c r="H35" s="76" t="n">
        <v>10</v>
      </c>
      <c r="I35" s="76" t="n">
        <v>486900</v>
      </c>
      <c r="J35" s="75">
        <f>INDEX('가정'!$E$50:$E$54,MATCH(D35,'가정'!$A$50:$A$54,0))</f>
        <v/>
      </c>
    </row>
    <row r="36">
      <c r="A36" s="75" t="inlineStr">
        <is>
          <t>아넬라</t>
        </is>
      </c>
      <c r="B36" s="75" t="inlineStr">
        <is>
          <t>GFA 전환</t>
        </is>
      </c>
      <c r="C36" s="75" t="inlineStr">
        <is>
          <t>아넬라_프로모_추석세일</t>
        </is>
      </c>
      <c r="D36" s="75" t="inlineStr">
        <is>
          <t>P3</t>
        </is>
      </c>
      <c r="E36" s="76" t="n">
        <v>0</v>
      </c>
      <c r="F36" s="76" t="n">
        <v>0</v>
      </c>
      <c r="G36" s="76" t="n">
        <v>0</v>
      </c>
      <c r="H36" s="76" t="n">
        <v>14</v>
      </c>
      <c r="I36" s="76" t="n">
        <v>650900</v>
      </c>
      <c r="J36" s="75">
        <f>INDEX('가정'!$E$50:$E$54,MATCH(D36,'가정'!$A$50:$A$54,0))</f>
        <v/>
      </c>
    </row>
    <row r="37">
      <c r="A37" s="75" t="inlineStr">
        <is>
          <t>아넬라</t>
        </is>
      </c>
      <c r="B37" s="75" t="inlineStr">
        <is>
          <t>GFA 전환</t>
        </is>
      </c>
      <c r="C37" s="75" t="inlineStr">
        <is>
          <t>아넬라_프로모_추석세일</t>
        </is>
      </c>
      <c r="D37" s="75" t="inlineStr">
        <is>
          <t>P4</t>
        </is>
      </c>
      <c r="E37" s="76" t="n">
        <v>0</v>
      </c>
      <c r="F37" s="76" t="n">
        <v>0</v>
      </c>
      <c r="G37" s="76" t="n">
        <v>0</v>
      </c>
      <c r="H37" s="76" t="n">
        <v>1</v>
      </c>
      <c r="I37" s="76" t="n">
        <v>48800</v>
      </c>
      <c r="J37" s="75">
        <f>INDEX('가정'!$E$50:$E$54,MATCH(D37,'가정'!$A$50:$A$54,0))</f>
        <v/>
      </c>
    </row>
    <row r="38">
      <c r="A38" s="75" t="inlineStr">
        <is>
          <t>아넬라</t>
        </is>
      </c>
      <c r="B38" s="75" t="inlineStr">
        <is>
          <t>메타 스스</t>
        </is>
      </c>
      <c r="C38" s="75" t="inlineStr">
        <is>
          <t>SUS_아넬라_넾다세일_구매_전환_유사타겟_2610</t>
        </is>
      </c>
      <c r="D38" s="75" t="inlineStr">
        <is>
          <t>P5</t>
        </is>
      </c>
      <c r="E38" s="76" t="n">
        <v>133131</v>
      </c>
      <c r="F38" s="76" t="n">
        <v>8791</v>
      </c>
      <c r="G38" s="76" t="n">
        <v>138</v>
      </c>
      <c r="H38" s="76" t="n">
        <v>56</v>
      </c>
      <c r="I38" s="76" t="n">
        <v>2197068</v>
      </c>
      <c r="J38" s="75">
        <f>INDEX('가정'!$E$50:$E$54,MATCH(D38,'가정'!$A$50:$A$54,0))</f>
        <v/>
      </c>
    </row>
    <row r="39">
      <c r="A39" s="75" t="inlineStr">
        <is>
          <t>아넬라</t>
        </is>
      </c>
      <c r="B39" s="75" t="inlineStr">
        <is>
          <t>메타 스스</t>
        </is>
      </c>
      <c r="C39" s="75" t="inlineStr">
        <is>
          <t>SUS_아넬라_카탈로그 판매 캠페인_260629</t>
        </is>
      </c>
      <c r="D39" s="75" t="inlineStr">
        <is>
          <t>P1</t>
        </is>
      </c>
      <c r="E39" s="76" t="n">
        <v>170504</v>
      </c>
      <c r="F39" s="76" t="n">
        <v>13274</v>
      </c>
      <c r="G39" s="76" t="n">
        <v>497</v>
      </c>
      <c r="H39" s="76" t="n">
        <v>10</v>
      </c>
      <c r="I39" s="76" t="n">
        <v>309500</v>
      </c>
      <c r="J39" s="75">
        <f>INDEX('가정'!$E$50:$E$54,MATCH(D39,'가정'!$A$50:$A$54,0))</f>
        <v/>
      </c>
    </row>
    <row r="40">
      <c r="A40" s="75" t="inlineStr">
        <is>
          <t>아넬라</t>
        </is>
      </c>
      <c r="B40" s="75" t="inlineStr">
        <is>
          <t>메타 스스</t>
        </is>
      </c>
      <c r="C40" s="75" t="inlineStr">
        <is>
          <t>SUS_아넬라_카탈로그 판매 캠페인_260629</t>
        </is>
      </c>
      <c r="D40" s="75" t="inlineStr">
        <is>
          <t>P2</t>
        </is>
      </c>
      <c r="E40" s="76" t="n">
        <v>318195</v>
      </c>
      <c r="F40" s="76" t="n">
        <v>31414</v>
      </c>
      <c r="G40" s="76" t="n">
        <v>940</v>
      </c>
      <c r="H40" s="76" t="n">
        <v>21</v>
      </c>
      <c r="I40" s="76" t="n">
        <v>748000</v>
      </c>
      <c r="J40" s="75">
        <f>INDEX('가정'!$E$50:$E$54,MATCH(D40,'가정'!$A$50:$A$54,0))</f>
        <v/>
      </c>
    </row>
    <row r="41">
      <c r="A41" s="75" t="inlineStr">
        <is>
          <t>아넬라</t>
        </is>
      </c>
      <c r="B41" s="75" t="inlineStr">
        <is>
          <t>메타 스스</t>
        </is>
      </c>
      <c r="C41" s="75" t="inlineStr">
        <is>
          <t>SUS_아넬라_카탈로그 판매 캠페인_260629</t>
        </is>
      </c>
      <c r="D41" s="75" t="inlineStr">
        <is>
          <t>P3</t>
        </is>
      </c>
      <c r="E41" s="76" t="n">
        <v>314394</v>
      </c>
      <c r="F41" s="76" t="n">
        <v>32319</v>
      </c>
      <c r="G41" s="76" t="n">
        <v>974</v>
      </c>
      <c r="H41" s="76" t="n">
        <v>75</v>
      </c>
      <c r="I41" s="76" t="n">
        <v>2966500</v>
      </c>
      <c r="J41" s="75">
        <f>INDEX('가정'!$E$50:$E$54,MATCH(D41,'가정'!$A$50:$A$54,0))</f>
        <v/>
      </c>
    </row>
    <row r="42">
      <c r="A42" s="75" t="inlineStr">
        <is>
          <t>아넬라</t>
        </is>
      </c>
      <c r="B42" s="75" t="inlineStr">
        <is>
          <t>메타 스스</t>
        </is>
      </c>
      <c r="C42" s="75" t="inlineStr">
        <is>
          <t>SUS_아넬라_카탈로그 판매 캠페인_260629</t>
        </is>
      </c>
      <c r="D42" s="75" t="inlineStr">
        <is>
          <t>P4</t>
        </is>
      </c>
      <c r="E42" s="76" t="n">
        <v>313457</v>
      </c>
      <c r="F42" s="76" t="n">
        <v>33844</v>
      </c>
      <c r="G42" s="76" t="n">
        <v>1056</v>
      </c>
      <c r="H42" s="76" t="n">
        <v>19</v>
      </c>
      <c r="I42" s="76" t="n">
        <v>591300</v>
      </c>
      <c r="J42" s="75">
        <f>INDEX('가정'!$E$50:$E$54,MATCH(D42,'가정'!$A$50:$A$54,0))</f>
        <v/>
      </c>
    </row>
    <row r="43">
      <c r="A43" s="75" t="inlineStr">
        <is>
          <t>아넬라</t>
        </is>
      </c>
      <c r="B43" s="75" t="inlineStr">
        <is>
          <t>메타 스스</t>
        </is>
      </c>
      <c r="C43" s="75" t="inlineStr">
        <is>
          <t>SUS_아넬라_카탈로그 판매 캠페인_260629</t>
        </is>
      </c>
      <c r="D43" s="75" t="inlineStr">
        <is>
          <t>P5</t>
        </is>
      </c>
      <c r="E43" s="76" t="n">
        <v>12234</v>
      </c>
      <c r="F43" s="76" t="n">
        <v>1412</v>
      </c>
      <c r="G43" s="76" t="n">
        <v>36</v>
      </c>
      <c r="H43" s="76" t="n">
        <v>13</v>
      </c>
      <c r="I43" s="76" t="n">
        <v>500500</v>
      </c>
      <c r="J43" s="75">
        <f>INDEX('가정'!$E$50:$E$54,MATCH(D43,'가정'!$A$50:$A$54,0))</f>
        <v/>
      </c>
    </row>
    <row r="44">
      <c r="A44" s="75" t="inlineStr">
        <is>
          <t>아넬라</t>
        </is>
      </c>
      <c r="B44" s="75" t="inlineStr">
        <is>
          <t>메타 스스</t>
        </is>
      </c>
      <c r="C44" s="75" t="inlineStr">
        <is>
          <t>SUS_아넬라_퓨레_베이비바우처(파트너십영상)_구매</t>
        </is>
      </c>
      <c r="D44" s="75" t="inlineStr">
        <is>
          <t>P1</t>
        </is>
      </c>
      <c r="E44" s="76" t="n">
        <v>134394</v>
      </c>
      <c r="F44" s="76" t="n">
        <v>9377</v>
      </c>
      <c r="G44" s="76" t="n">
        <v>270</v>
      </c>
      <c r="H44" s="76" t="n">
        <v>10</v>
      </c>
      <c r="I44" s="76" t="n">
        <v>518800</v>
      </c>
      <c r="J44" s="75">
        <f>INDEX('가정'!$E$50:$E$54,MATCH(D44,'가정'!$A$50:$A$54,0))</f>
        <v/>
      </c>
    </row>
    <row r="45">
      <c r="A45" s="75" t="inlineStr">
        <is>
          <t>아넬라</t>
        </is>
      </c>
      <c r="B45" s="75" t="inlineStr">
        <is>
          <t>메타 스스</t>
        </is>
      </c>
      <c r="C45" s="75" t="inlineStr">
        <is>
          <t>SUS_아넬라_퓨레_베이비바우처(파트너십영상)_구매</t>
        </is>
      </c>
      <c r="D45" s="75" t="inlineStr">
        <is>
          <t>P2</t>
        </is>
      </c>
      <c r="E45" s="76" t="n">
        <v>213142</v>
      </c>
      <c r="F45" s="76" t="n">
        <v>16246</v>
      </c>
      <c r="G45" s="76" t="n">
        <v>452</v>
      </c>
      <c r="H45" s="76" t="n">
        <v>16</v>
      </c>
      <c r="I45" s="76" t="n">
        <v>621841</v>
      </c>
      <c r="J45" s="75">
        <f>INDEX('가정'!$E$50:$E$54,MATCH(D45,'가정'!$A$50:$A$54,0))</f>
        <v/>
      </c>
    </row>
    <row r="46">
      <c r="A46" s="75" t="inlineStr">
        <is>
          <t>아넬라</t>
        </is>
      </c>
      <c r="B46" s="75" t="inlineStr">
        <is>
          <t>메타 스스</t>
        </is>
      </c>
      <c r="C46" s="75" t="inlineStr">
        <is>
          <t>SUS_아넬라_퓨레_베이비바우처(파트너십영상)_구매</t>
        </is>
      </c>
      <c r="D46" s="75" t="inlineStr">
        <is>
          <t>P3</t>
        </is>
      </c>
      <c r="E46" s="76" t="n">
        <v>212326</v>
      </c>
      <c r="F46" s="76" t="n">
        <v>13935</v>
      </c>
      <c r="G46" s="76" t="n">
        <v>380</v>
      </c>
      <c r="H46" s="76" t="n">
        <v>29</v>
      </c>
      <c r="I46" s="76" t="n">
        <v>1252461</v>
      </c>
      <c r="J46" s="75">
        <f>INDEX('가정'!$E$50:$E$54,MATCH(D46,'가정'!$A$50:$A$54,0))</f>
        <v/>
      </c>
    </row>
    <row r="47">
      <c r="A47" s="75" t="inlineStr">
        <is>
          <t>아넬라</t>
        </is>
      </c>
      <c r="B47" s="75" t="inlineStr">
        <is>
          <t>메타 스스</t>
        </is>
      </c>
      <c r="C47" s="75" t="inlineStr">
        <is>
          <t>SUS_아넬라_퓨레_베이비바우처(파트너십영상)_구매</t>
        </is>
      </c>
      <c r="D47" s="75" t="inlineStr">
        <is>
          <t>P4</t>
        </is>
      </c>
      <c r="E47" s="76" t="n">
        <v>203503</v>
      </c>
      <c r="F47" s="76" t="n">
        <v>13929</v>
      </c>
      <c r="G47" s="76" t="n">
        <v>366</v>
      </c>
      <c r="H47" s="76" t="n">
        <v>30</v>
      </c>
      <c r="I47" s="76" t="n">
        <v>1383200</v>
      </c>
      <c r="J47" s="75">
        <f>INDEX('가정'!$E$50:$E$54,MATCH(D47,'가정'!$A$50:$A$54,0))</f>
        <v/>
      </c>
    </row>
    <row r="48">
      <c r="A48" s="75" t="inlineStr">
        <is>
          <t>아넬라</t>
        </is>
      </c>
      <c r="B48" s="75" t="inlineStr">
        <is>
          <t>메타 스스</t>
        </is>
      </c>
      <c r="C48" s="75" t="inlineStr">
        <is>
          <t>SUS_아넬라_퓨레_베이비바우처(파트너십영상)_구매</t>
        </is>
      </c>
      <c r="D48" s="75" t="inlineStr">
        <is>
          <t>P5</t>
        </is>
      </c>
      <c r="E48" s="76" t="n">
        <v>10325</v>
      </c>
      <c r="F48" s="76" t="n">
        <v>622</v>
      </c>
      <c r="G48" s="76" t="n">
        <v>13</v>
      </c>
      <c r="H48" s="76" t="n">
        <v>17</v>
      </c>
      <c r="I48" s="76" t="n">
        <v>708034</v>
      </c>
      <c r="J48" s="75">
        <f>INDEX('가정'!$E$50:$E$54,MATCH(D48,'가정'!$A$50:$A$54,0))</f>
        <v/>
      </c>
    </row>
    <row r="49">
      <c r="A49" s="75" t="inlineStr">
        <is>
          <t>아넬라</t>
        </is>
      </c>
      <c r="B49" s="75" t="inlineStr">
        <is>
          <t>메타 자사몰</t>
        </is>
      </c>
      <c r="C49" s="75" t="inlineStr">
        <is>
          <t>SUS_아넬라_신청하기_자사몰(웰컴박스)_2026519</t>
        </is>
      </c>
      <c r="D49" s="75" t="inlineStr">
        <is>
          <t>P3</t>
        </is>
      </c>
      <c r="E49" s="76" t="n">
        <v>43129</v>
      </c>
      <c r="F49" s="76" t="n">
        <v>2766</v>
      </c>
      <c r="G49" s="76" t="n">
        <v>219</v>
      </c>
      <c r="H49" s="76" t="n">
        <v>0</v>
      </c>
      <c r="I49" s="76" t="n">
        <v>0</v>
      </c>
      <c r="J49" s="75">
        <f>INDEX('가정'!$E$50:$E$54,MATCH(D49,'가정'!$A$50:$A$54,0))</f>
        <v/>
      </c>
    </row>
    <row r="50">
      <c r="A50" s="75" t="inlineStr">
        <is>
          <t>아넬라</t>
        </is>
      </c>
      <c r="B50" s="75" t="inlineStr">
        <is>
          <t>메타 자사몰</t>
        </is>
      </c>
      <c r="C50" s="75" t="inlineStr">
        <is>
          <t>SUS_아넬라_신청하기_자사몰(웰컴박스)_2026519</t>
        </is>
      </c>
      <c r="D50" s="75" t="inlineStr">
        <is>
          <t>P4</t>
        </is>
      </c>
      <c r="E50" s="76" t="n">
        <v>105717</v>
      </c>
      <c r="F50" s="76" t="n">
        <v>6431</v>
      </c>
      <c r="G50" s="76" t="n">
        <v>504</v>
      </c>
      <c r="H50" s="76" t="n">
        <v>2</v>
      </c>
      <c r="I50" s="76" t="n">
        <v>19500</v>
      </c>
      <c r="J50" s="75">
        <f>INDEX('가정'!$E$50:$E$54,MATCH(D50,'가정'!$A$50:$A$54,0))</f>
        <v/>
      </c>
    </row>
    <row r="51">
      <c r="A51" s="75" t="inlineStr">
        <is>
          <t>아넬라</t>
        </is>
      </c>
      <c r="B51" s="75" t="inlineStr">
        <is>
          <t>메타 자사몰</t>
        </is>
      </c>
      <c r="C51" s="75" t="inlineStr">
        <is>
          <t>SUS_아넬라_신청하기_자사몰(웰컴박스)_2026519</t>
        </is>
      </c>
      <c r="D51" s="75" t="inlineStr">
        <is>
          <t>P5</t>
        </is>
      </c>
      <c r="E51" s="76" t="n">
        <v>46694</v>
      </c>
      <c r="F51" s="76" t="n">
        <v>2619</v>
      </c>
      <c r="G51" s="76" t="n">
        <v>204</v>
      </c>
      <c r="H51" s="76" t="n">
        <v>0</v>
      </c>
      <c r="I51" s="76" t="n">
        <v>0</v>
      </c>
      <c r="J51" s="75">
        <f>INDEX('가정'!$E$50:$E$54,MATCH(D51,'가정'!$A$50:$A$54,0))</f>
        <v/>
      </c>
    </row>
    <row r="52">
      <c r="A52" s="75" t="inlineStr">
        <is>
          <t>아넬라</t>
        </is>
      </c>
      <c r="B52" s="75" t="inlineStr">
        <is>
          <t>메타 자사몰</t>
        </is>
      </c>
      <c r="C52" s="75" t="inlineStr">
        <is>
          <t>SUS_아넬라_전환_자사몰(시크릿링크)_260729</t>
        </is>
      </c>
      <c r="D52" s="75" t="inlineStr">
        <is>
          <t>P1</t>
        </is>
      </c>
      <c r="E52" s="76" t="n">
        <v>191508</v>
      </c>
      <c r="F52" s="76" t="n">
        <v>18199</v>
      </c>
      <c r="G52" s="76" t="n">
        <v>302</v>
      </c>
      <c r="H52" s="76" t="n">
        <v>28</v>
      </c>
      <c r="I52" s="76" t="n">
        <v>1176509</v>
      </c>
      <c r="J52" s="75">
        <f>INDEX('가정'!$E$50:$E$54,MATCH(D52,'가정'!$A$50:$A$54,0))</f>
        <v/>
      </c>
    </row>
    <row r="53">
      <c r="A53" s="75" t="inlineStr">
        <is>
          <t>아넬라</t>
        </is>
      </c>
      <c r="B53" s="75" t="inlineStr">
        <is>
          <t>메타 자사몰</t>
        </is>
      </c>
      <c r="C53" s="75" t="inlineStr">
        <is>
          <t>SUS_아넬라_전환_자사몰(시크릿링크)_260729</t>
        </is>
      </c>
      <c r="D53" s="75" t="inlineStr">
        <is>
          <t>P2</t>
        </is>
      </c>
      <c r="E53" s="76" t="n">
        <v>356106</v>
      </c>
      <c r="F53" s="76" t="n">
        <v>33647</v>
      </c>
      <c r="G53" s="76" t="n">
        <v>668</v>
      </c>
      <c r="H53" s="76" t="n">
        <v>46</v>
      </c>
      <c r="I53" s="76" t="n">
        <v>1983435</v>
      </c>
      <c r="J53" s="75">
        <f>INDEX('가정'!$E$50:$E$54,MATCH(D53,'가정'!$A$50:$A$54,0))</f>
        <v/>
      </c>
    </row>
    <row r="54">
      <c r="A54" s="75" t="inlineStr">
        <is>
          <t>아넬라</t>
        </is>
      </c>
      <c r="B54" s="75" t="inlineStr">
        <is>
          <t>메타 자사몰</t>
        </is>
      </c>
      <c r="C54" s="75" t="inlineStr">
        <is>
          <t>SUS_아넬라_전환_자사몰(시크릿링크)_260729</t>
        </is>
      </c>
      <c r="D54" s="75" t="inlineStr">
        <is>
          <t>P3</t>
        </is>
      </c>
      <c r="E54" s="76" t="n">
        <v>353227</v>
      </c>
      <c r="F54" s="76" t="n">
        <v>28292</v>
      </c>
      <c r="G54" s="76" t="n">
        <v>587</v>
      </c>
      <c r="H54" s="76" t="n">
        <v>49</v>
      </c>
      <c r="I54" s="76" t="n">
        <v>2062500</v>
      </c>
      <c r="J54" s="75">
        <f>INDEX('가정'!$E$50:$E$54,MATCH(D54,'가정'!$A$50:$A$54,0))</f>
        <v/>
      </c>
    </row>
    <row r="55">
      <c r="A55" s="75" t="inlineStr">
        <is>
          <t>아넬라</t>
        </is>
      </c>
      <c r="B55" s="75" t="inlineStr">
        <is>
          <t>메타 자사몰</t>
        </is>
      </c>
      <c r="C55" s="75" t="inlineStr">
        <is>
          <t>SUS_아넬라_전환_자사몰(시크릿링크)_260729</t>
        </is>
      </c>
      <c r="D55" s="75" t="inlineStr">
        <is>
          <t>P4</t>
        </is>
      </c>
      <c r="E55" s="76" t="n">
        <v>342303</v>
      </c>
      <c r="F55" s="76" t="n">
        <v>25232</v>
      </c>
      <c r="G55" s="76" t="n">
        <v>521</v>
      </c>
      <c r="H55" s="76" t="n">
        <v>39</v>
      </c>
      <c r="I55" s="76" t="n">
        <v>1414100</v>
      </c>
      <c r="J55" s="75">
        <f>INDEX('가정'!$E$50:$E$54,MATCH(D55,'가정'!$A$50:$A$54,0))</f>
        <v/>
      </c>
    </row>
    <row r="56">
      <c r="A56" s="75" t="inlineStr">
        <is>
          <t>아넬라</t>
        </is>
      </c>
      <c r="B56" s="75" t="inlineStr">
        <is>
          <t>메타 자사몰</t>
        </is>
      </c>
      <c r="C56" s="75" t="inlineStr">
        <is>
          <t>SUS_아넬라_전환_자사몰(시크릿링크)_260729</t>
        </is>
      </c>
      <c r="D56" s="75" t="inlineStr">
        <is>
          <t>P5</t>
        </is>
      </c>
      <c r="E56" s="76" t="n">
        <v>158839</v>
      </c>
      <c r="F56" s="76" t="n">
        <v>11027</v>
      </c>
      <c r="G56" s="76" t="n">
        <v>230</v>
      </c>
      <c r="H56" s="76" t="n">
        <v>16</v>
      </c>
      <c r="I56" s="76" t="n">
        <v>626700</v>
      </c>
      <c r="J56" s="75">
        <f>INDEX('가정'!$E$50:$E$54,MATCH(D56,'가정'!$A$50:$A$54,0))</f>
        <v/>
      </c>
    </row>
    <row r="57">
      <c r="A57" s="75" t="inlineStr">
        <is>
          <t>로지오가닉</t>
        </is>
      </c>
      <c r="B57" s="75" t="inlineStr">
        <is>
          <t>파워링크</t>
        </is>
      </c>
      <c r="C57" s="75" t="inlineStr">
        <is>
          <t>SA_로지오가닉 캠페인</t>
        </is>
      </c>
      <c r="D57" s="75" t="inlineStr">
        <is>
          <t>P1</t>
        </is>
      </c>
      <c r="E57" s="76" t="n">
        <v>147165</v>
      </c>
      <c r="F57" s="76" t="n">
        <v>16213</v>
      </c>
      <c r="G57" s="76" t="n">
        <v>181</v>
      </c>
      <c r="H57" s="76" t="n">
        <v>13</v>
      </c>
      <c r="I57" s="76" t="n">
        <v>273100</v>
      </c>
      <c r="J57" s="75">
        <f>INDEX('가정'!$E$50:$E$54,MATCH(D57,'가정'!$A$50:$A$54,0))</f>
        <v/>
      </c>
    </row>
    <row r="58">
      <c r="A58" s="75" t="inlineStr">
        <is>
          <t>로지오가닉</t>
        </is>
      </c>
      <c r="B58" s="75" t="inlineStr">
        <is>
          <t>파워링크</t>
        </is>
      </c>
      <c r="C58" s="75" t="inlineStr">
        <is>
          <t>SA_로지오가닉 캠페인</t>
        </is>
      </c>
      <c r="D58" s="75" t="inlineStr">
        <is>
          <t>P2</t>
        </is>
      </c>
      <c r="E58" s="76" t="n">
        <v>258762</v>
      </c>
      <c r="F58" s="76" t="n">
        <v>29282</v>
      </c>
      <c r="G58" s="76" t="n">
        <v>334</v>
      </c>
      <c r="H58" s="76" t="n">
        <v>32</v>
      </c>
      <c r="I58" s="76" t="n">
        <v>802660</v>
      </c>
      <c r="J58" s="75">
        <f>INDEX('가정'!$E$50:$E$54,MATCH(D58,'가정'!$A$50:$A$54,0))</f>
        <v/>
      </c>
    </row>
    <row r="59">
      <c r="A59" s="75" t="inlineStr">
        <is>
          <t>로지오가닉</t>
        </is>
      </c>
      <c r="B59" s="75" t="inlineStr">
        <is>
          <t>파워링크</t>
        </is>
      </c>
      <c r="C59" s="75" t="inlineStr">
        <is>
          <t>SA_로지오가닉 캠페인</t>
        </is>
      </c>
      <c r="D59" s="75" t="inlineStr">
        <is>
          <t>P3</t>
        </is>
      </c>
      <c r="E59" s="76" t="n">
        <v>260350</v>
      </c>
      <c r="F59" s="76" t="n">
        <v>25609</v>
      </c>
      <c r="G59" s="76" t="n">
        <v>332</v>
      </c>
      <c r="H59" s="76" t="n">
        <v>42</v>
      </c>
      <c r="I59" s="76" t="n">
        <v>977440</v>
      </c>
      <c r="J59" s="75">
        <f>INDEX('가정'!$E$50:$E$54,MATCH(D59,'가정'!$A$50:$A$54,0))</f>
        <v/>
      </c>
    </row>
    <row r="60">
      <c r="A60" s="75" t="inlineStr">
        <is>
          <t>로지오가닉</t>
        </is>
      </c>
      <c r="B60" s="75" t="inlineStr">
        <is>
          <t>파워링크</t>
        </is>
      </c>
      <c r="C60" s="75" t="inlineStr">
        <is>
          <t>SA_로지오가닉 캠페인</t>
        </is>
      </c>
      <c r="D60" s="75" t="inlineStr">
        <is>
          <t>P4</t>
        </is>
      </c>
      <c r="E60" s="76" t="n">
        <v>267734</v>
      </c>
      <c r="F60" s="76" t="n">
        <v>26461</v>
      </c>
      <c r="G60" s="76" t="n">
        <v>354</v>
      </c>
      <c r="H60" s="76" t="n">
        <v>26</v>
      </c>
      <c r="I60" s="76" t="n">
        <v>645800</v>
      </c>
      <c r="J60" s="75">
        <f>INDEX('가정'!$E$50:$E$54,MATCH(D60,'가정'!$A$50:$A$54,0))</f>
        <v/>
      </c>
    </row>
    <row r="61">
      <c r="A61" s="75" t="inlineStr">
        <is>
          <t>로지오가닉</t>
        </is>
      </c>
      <c r="B61" s="75" t="inlineStr">
        <is>
          <t>파워링크</t>
        </is>
      </c>
      <c r="C61" s="75" t="inlineStr">
        <is>
          <t>SA_로지오가닉 캠페인</t>
        </is>
      </c>
      <c r="D61" s="75" t="inlineStr">
        <is>
          <t>P5</t>
        </is>
      </c>
      <c r="E61" s="76" t="n">
        <v>117128</v>
      </c>
      <c r="F61" s="76" t="n">
        <v>10659</v>
      </c>
      <c r="G61" s="76" t="n">
        <v>155</v>
      </c>
      <c r="H61" s="76" t="n">
        <v>26</v>
      </c>
      <c r="I61" s="76" t="n">
        <v>519530</v>
      </c>
      <c r="J61" s="75">
        <f>INDEX('가정'!$E$50:$E$54,MATCH(D61,'가정'!$A$50:$A$54,0))</f>
        <v/>
      </c>
    </row>
    <row r="62">
      <c r="A62" s="75" t="inlineStr">
        <is>
          <t>로지오가닉</t>
        </is>
      </c>
      <c r="B62" s="75" t="inlineStr">
        <is>
          <t>쇼핑검색</t>
        </is>
      </c>
      <c r="C62" s="75" t="inlineStr">
        <is>
          <t>SSA_로지오가닉_과자 캠페인</t>
        </is>
      </c>
      <c r="D62" s="75" t="inlineStr">
        <is>
          <t>P1</t>
        </is>
      </c>
      <c r="E62" s="76" t="n">
        <v>124664</v>
      </c>
      <c r="F62" s="76" t="n">
        <v>7763</v>
      </c>
      <c r="G62" s="76" t="n">
        <v>93</v>
      </c>
      <c r="H62" s="76" t="n">
        <v>9</v>
      </c>
      <c r="I62" s="76" t="n">
        <v>162400</v>
      </c>
      <c r="J62" s="75">
        <f>INDEX('가정'!$E$50:$E$54,MATCH(D62,'가정'!$A$50:$A$54,0))</f>
        <v/>
      </c>
    </row>
    <row r="63">
      <c r="A63" s="75" t="inlineStr">
        <is>
          <t>로지오가닉</t>
        </is>
      </c>
      <c r="B63" s="75" t="inlineStr">
        <is>
          <t>쇼핑검색</t>
        </is>
      </c>
      <c r="C63" s="75" t="inlineStr">
        <is>
          <t>SSA_로지오가닉_과자 캠페인</t>
        </is>
      </c>
      <c r="D63" s="75" t="inlineStr">
        <is>
          <t>P2</t>
        </is>
      </c>
      <c r="E63" s="76" t="n">
        <v>218108</v>
      </c>
      <c r="F63" s="76" t="n">
        <v>15020</v>
      </c>
      <c r="G63" s="76" t="n">
        <v>155</v>
      </c>
      <c r="H63" s="76" t="n">
        <v>39</v>
      </c>
      <c r="I63" s="76" t="n">
        <v>937720</v>
      </c>
      <c r="J63" s="75">
        <f>INDEX('가정'!$E$50:$E$54,MATCH(D63,'가정'!$A$50:$A$54,0))</f>
        <v/>
      </c>
    </row>
    <row r="64">
      <c r="A64" s="75" t="inlineStr">
        <is>
          <t>로지오가닉</t>
        </is>
      </c>
      <c r="B64" s="75" t="inlineStr">
        <is>
          <t>쇼핑검색</t>
        </is>
      </c>
      <c r="C64" s="75" t="inlineStr">
        <is>
          <t>SSA_로지오가닉_과자 캠페인</t>
        </is>
      </c>
      <c r="D64" s="75" t="inlineStr">
        <is>
          <t>P3</t>
        </is>
      </c>
      <c r="E64" s="76" t="n">
        <v>228476</v>
      </c>
      <c r="F64" s="76" t="n">
        <v>13175</v>
      </c>
      <c r="G64" s="76" t="n">
        <v>171</v>
      </c>
      <c r="H64" s="76" t="n">
        <v>60</v>
      </c>
      <c r="I64" s="76" t="n">
        <v>1170300</v>
      </c>
      <c r="J64" s="75">
        <f>INDEX('가정'!$E$50:$E$54,MATCH(D64,'가정'!$A$50:$A$54,0))</f>
        <v/>
      </c>
    </row>
    <row r="65">
      <c r="A65" s="75" t="inlineStr">
        <is>
          <t>로지오가닉</t>
        </is>
      </c>
      <c r="B65" s="75" t="inlineStr">
        <is>
          <t>쇼핑검색</t>
        </is>
      </c>
      <c r="C65" s="75" t="inlineStr">
        <is>
          <t>SSA_로지오가닉_과자 캠페인</t>
        </is>
      </c>
      <c r="D65" s="75" t="inlineStr">
        <is>
          <t>P4</t>
        </is>
      </c>
      <c r="E65" s="76" t="n">
        <v>245195</v>
      </c>
      <c r="F65" s="76" t="n">
        <v>14736</v>
      </c>
      <c r="G65" s="76" t="n">
        <v>189</v>
      </c>
      <c r="H65" s="76" t="n">
        <v>22</v>
      </c>
      <c r="I65" s="76" t="n">
        <v>440900</v>
      </c>
      <c r="J65" s="75">
        <f>INDEX('가정'!$E$50:$E$54,MATCH(D65,'가정'!$A$50:$A$54,0))</f>
        <v/>
      </c>
    </row>
    <row r="66">
      <c r="A66" s="75" t="inlineStr">
        <is>
          <t>로지오가닉</t>
        </is>
      </c>
      <c r="B66" s="75" t="inlineStr">
        <is>
          <t>쇼핑검색</t>
        </is>
      </c>
      <c r="C66" s="75" t="inlineStr">
        <is>
          <t>SSA_로지오가닉_과자 캠페인</t>
        </is>
      </c>
      <c r="D66" s="75" t="inlineStr">
        <is>
          <t>P5</t>
        </is>
      </c>
      <c r="E66" s="76" t="n">
        <v>167164</v>
      </c>
      <c r="F66" s="76" t="n">
        <v>7855</v>
      </c>
      <c r="G66" s="76" t="n">
        <v>139</v>
      </c>
      <c r="H66" s="76" t="n">
        <v>39</v>
      </c>
      <c r="I66" s="76" t="n">
        <v>768330</v>
      </c>
      <c r="J66" s="75">
        <f>INDEX('가정'!$E$50:$E$54,MATCH(D66,'가정'!$A$50:$A$54,0))</f>
        <v/>
      </c>
    </row>
    <row r="67">
      <c r="A67" s="75" t="inlineStr">
        <is>
          <t>로지오가닉</t>
        </is>
      </c>
      <c r="B67" s="75" t="inlineStr">
        <is>
          <t>쇼핑검색</t>
        </is>
      </c>
      <c r="C67" s="75" t="inlineStr">
        <is>
          <t>SSA_로지오가닉_음료 캠페인</t>
        </is>
      </c>
      <c r="D67" s="75" t="inlineStr">
        <is>
          <t>P1</t>
        </is>
      </c>
      <c r="E67" s="76" t="n">
        <v>38902</v>
      </c>
      <c r="F67" s="76" t="n">
        <v>2367</v>
      </c>
      <c r="G67" s="76" t="n">
        <v>48</v>
      </c>
      <c r="H67" s="76" t="n">
        <v>7</v>
      </c>
      <c r="I67" s="76" t="n">
        <v>243800</v>
      </c>
      <c r="J67" s="75">
        <f>INDEX('가정'!$E$50:$E$54,MATCH(D67,'가정'!$A$50:$A$54,0))</f>
        <v/>
      </c>
    </row>
    <row r="68">
      <c r="A68" s="75" t="inlineStr">
        <is>
          <t>로지오가닉</t>
        </is>
      </c>
      <c r="B68" s="75" t="inlineStr">
        <is>
          <t>쇼핑검색</t>
        </is>
      </c>
      <c r="C68" s="75" t="inlineStr">
        <is>
          <t>SSA_로지오가닉_음료 캠페인</t>
        </is>
      </c>
      <c r="D68" s="75" t="inlineStr">
        <is>
          <t>P2</t>
        </is>
      </c>
      <c r="E68" s="76" t="n">
        <v>47175</v>
      </c>
      <c r="F68" s="76" t="n">
        <v>3368</v>
      </c>
      <c r="G68" s="76" t="n">
        <v>49</v>
      </c>
      <c r="H68" s="76" t="n">
        <v>2</v>
      </c>
      <c r="I68" s="76" t="n">
        <v>46760</v>
      </c>
      <c r="J68" s="75">
        <f>INDEX('가정'!$E$50:$E$54,MATCH(D68,'가정'!$A$50:$A$54,0))</f>
        <v/>
      </c>
    </row>
    <row r="69">
      <c r="A69" s="75" t="inlineStr">
        <is>
          <t>로지오가닉</t>
        </is>
      </c>
      <c r="B69" s="75" t="inlineStr">
        <is>
          <t>쇼핑검색</t>
        </is>
      </c>
      <c r="C69" s="75" t="inlineStr">
        <is>
          <t>SSA_로지오가닉_음료 캠페인</t>
        </is>
      </c>
      <c r="D69" s="75" t="inlineStr">
        <is>
          <t>P3</t>
        </is>
      </c>
      <c r="E69" s="76" t="n">
        <v>67466</v>
      </c>
      <c r="F69" s="76" t="n">
        <v>3235</v>
      </c>
      <c r="G69" s="76" t="n">
        <v>62</v>
      </c>
      <c r="H69" s="76" t="n">
        <v>8</v>
      </c>
      <c r="I69" s="76" t="n">
        <v>196010</v>
      </c>
      <c r="J69" s="75">
        <f>INDEX('가정'!$E$50:$E$54,MATCH(D69,'가정'!$A$50:$A$54,0))</f>
        <v/>
      </c>
    </row>
    <row r="70">
      <c r="A70" s="75" t="inlineStr">
        <is>
          <t>로지오가닉</t>
        </is>
      </c>
      <c r="B70" s="75" t="inlineStr">
        <is>
          <t>쇼핑검색</t>
        </is>
      </c>
      <c r="C70" s="75" t="inlineStr">
        <is>
          <t>SSA_로지오가닉_음료 캠페인</t>
        </is>
      </c>
      <c r="D70" s="75" t="inlineStr">
        <is>
          <t>P4</t>
        </is>
      </c>
      <c r="E70" s="76" t="n">
        <v>62283</v>
      </c>
      <c r="F70" s="76" t="n">
        <v>3623</v>
      </c>
      <c r="G70" s="76" t="n">
        <v>63</v>
      </c>
      <c r="H70" s="76" t="n">
        <v>7</v>
      </c>
      <c r="I70" s="76" t="n">
        <v>227700</v>
      </c>
      <c r="J70" s="75">
        <f>INDEX('가정'!$E$50:$E$54,MATCH(D70,'가정'!$A$50:$A$54,0))</f>
        <v/>
      </c>
    </row>
    <row r="71">
      <c r="A71" s="75" t="inlineStr">
        <is>
          <t>로지오가닉</t>
        </is>
      </c>
      <c r="B71" s="75" t="inlineStr">
        <is>
          <t>쇼핑검색</t>
        </is>
      </c>
      <c r="C71" s="75" t="inlineStr">
        <is>
          <t>SSA_로지오가닉_음료 캠페인</t>
        </is>
      </c>
      <c r="D71" s="75" t="inlineStr">
        <is>
          <t>P5</t>
        </is>
      </c>
      <c r="E71" s="76" t="n">
        <v>32854</v>
      </c>
      <c r="F71" s="76" t="n">
        <v>2475</v>
      </c>
      <c r="G71" s="76" t="n">
        <v>35</v>
      </c>
      <c r="H71" s="76" t="n">
        <v>6</v>
      </c>
      <c r="I71" s="76" t="n">
        <v>249620</v>
      </c>
      <c r="J71" s="75">
        <f>INDEX('가정'!$E$50:$E$54,MATCH(D71,'가정'!$A$50:$A$54,0))</f>
        <v/>
      </c>
    </row>
    <row r="72">
      <c r="A72" s="75" t="inlineStr">
        <is>
          <t>로지오가닉</t>
        </is>
      </c>
      <c r="B72" s="75" t="inlineStr">
        <is>
          <t>브랜드검색</t>
        </is>
      </c>
      <c r="C72" s="75" t="inlineStr">
        <is>
          <t>로지오가닉_브검_모바일</t>
        </is>
      </c>
      <c r="D72" s="75" t="inlineStr">
        <is>
          <t>P1</t>
        </is>
      </c>
      <c r="E72" s="77">
        <f>'가정'!$B$38*INDEX('가정'!$D$50:$D$54,MATCH(D72,'가정'!$A$50:$A$54,0))</f>
        <v/>
      </c>
      <c r="F72" s="76" t="n">
        <v>439</v>
      </c>
      <c r="G72" s="76" t="n">
        <v>177</v>
      </c>
      <c r="H72" s="76" t="n">
        <v>30</v>
      </c>
      <c r="I72" s="76" t="n">
        <v>728360</v>
      </c>
      <c r="J72" s="75">
        <f>INDEX('가정'!$E$50:$E$54,MATCH(D72,'가정'!$A$50:$A$54,0))</f>
        <v/>
      </c>
    </row>
    <row r="73">
      <c r="A73" s="75" t="inlineStr">
        <is>
          <t>로지오가닉</t>
        </is>
      </c>
      <c r="B73" s="75" t="inlineStr">
        <is>
          <t>브랜드검색</t>
        </is>
      </c>
      <c r="C73" s="75" t="inlineStr">
        <is>
          <t>로지오가닉_브검_모바일</t>
        </is>
      </c>
      <c r="D73" s="75" t="inlineStr">
        <is>
          <t>P2</t>
        </is>
      </c>
      <c r="E73" s="77">
        <f>'가정'!$B$38*INDEX('가정'!$D$50:$D$54,MATCH(D73,'가정'!$A$50:$A$54,0))</f>
        <v/>
      </c>
      <c r="F73" s="76" t="n">
        <v>717</v>
      </c>
      <c r="G73" s="76" t="n">
        <v>308</v>
      </c>
      <c r="H73" s="76" t="n">
        <v>81</v>
      </c>
      <c r="I73" s="76" t="n">
        <v>2068190</v>
      </c>
      <c r="J73" s="75">
        <f>INDEX('가정'!$E$50:$E$54,MATCH(D73,'가정'!$A$50:$A$54,0))</f>
        <v/>
      </c>
    </row>
    <row r="74">
      <c r="A74" s="75" t="inlineStr">
        <is>
          <t>로지오가닉</t>
        </is>
      </c>
      <c r="B74" s="75" t="inlineStr">
        <is>
          <t>브랜드검색</t>
        </is>
      </c>
      <c r="C74" s="75" t="inlineStr">
        <is>
          <t>로지오가닉_브검_모바일</t>
        </is>
      </c>
      <c r="D74" s="75" t="inlineStr">
        <is>
          <t>P3</t>
        </is>
      </c>
      <c r="E74" s="77">
        <f>'가정'!$B$38*INDEX('가정'!$D$50:$D$54,MATCH(D74,'가정'!$A$50:$A$54,0))</f>
        <v/>
      </c>
      <c r="F74" s="76" t="n">
        <v>814</v>
      </c>
      <c r="G74" s="76" t="n">
        <v>361</v>
      </c>
      <c r="H74" s="76" t="n">
        <v>110</v>
      </c>
      <c r="I74" s="76" t="n">
        <v>2704780</v>
      </c>
      <c r="J74" s="75">
        <f>INDEX('가정'!$E$50:$E$54,MATCH(D74,'가정'!$A$50:$A$54,0))</f>
        <v/>
      </c>
    </row>
    <row r="75">
      <c r="A75" s="75" t="inlineStr">
        <is>
          <t>로지오가닉</t>
        </is>
      </c>
      <c r="B75" s="75" t="inlineStr">
        <is>
          <t>브랜드검색</t>
        </is>
      </c>
      <c r="C75" s="75" t="inlineStr">
        <is>
          <t>로지오가닉_브검_모바일</t>
        </is>
      </c>
      <c r="D75" s="75" t="inlineStr">
        <is>
          <t>P4</t>
        </is>
      </c>
      <c r="E75" s="77">
        <f>'가정'!$B$38*INDEX('가정'!$D$50:$D$54,MATCH(D75,'가정'!$A$50:$A$54,0))</f>
        <v/>
      </c>
      <c r="F75" s="76" t="n">
        <v>765</v>
      </c>
      <c r="G75" s="76" t="n">
        <v>295</v>
      </c>
      <c r="H75" s="76" t="n">
        <v>59</v>
      </c>
      <c r="I75" s="76" t="n">
        <v>1654620</v>
      </c>
      <c r="J75" s="75">
        <f>INDEX('가정'!$E$50:$E$54,MATCH(D75,'가정'!$A$50:$A$54,0))</f>
        <v/>
      </c>
    </row>
    <row r="76">
      <c r="A76" s="75" t="inlineStr">
        <is>
          <t>로지오가닉</t>
        </is>
      </c>
      <c r="B76" s="75" t="inlineStr">
        <is>
          <t>브랜드검색</t>
        </is>
      </c>
      <c r="C76" s="75" t="inlineStr">
        <is>
          <t>로지오가닉_브검_모바일</t>
        </is>
      </c>
      <c r="D76" s="75" t="inlineStr">
        <is>
          <t>P5</t>
        </is>
      </c>
      <c r="E76" s="77">
        <f>'가정'!$B$38*INDEX('가정'!$D$50:$D$54,MATCH(D76,'가정'!$A$50:$A$54,0))</f>
        <v/>
      </c>
      <c r="F76" s="76" t="n">
        <v>393</v>
      </c>
      <c r="G76" s="76" t="n">
        <v>158</v>
      </c>
      <c r="H76" s="76" t="n">
        <v>52</v>
      </c>
      <c r="I76" s="76" t="n">
        <v>1222170</v>
      </c>
      <c r="J76" s="75">
        <f>INDEX('가정'!$E$50:$E$54,MATCH(D76,'가정'!$A$50:$A$54,0))</f>
        <v/>
      </c>
    </row>
    <row r="77">
      <c r="A77" s="75" t="inlineStr">
        <is>
          <t>로지오가닉</t>
        </is>
      </c>
      <c r="B77" s="75" t="inlineStr">
        <is>
          <t>GFA 카탈로그</t>
        </is>
      </c>
      <c r="C77" s="75" t="inlineStr">
        <is>
          <t>2605_카탈로그_로지오가닉</t>
        </is>
      </c>
      <c r="D77" s="75" t="inlineStr">
        <is>
          <t>P1</t>
        </is>
      </c>
      <c r="E77" s="76" t="n">
        <v>24543</v>
      </c>
      <c r="F77" s="76" t="n">
        <v>1308</v>
      </c>
      <c r="G77" s="76" t="n">
        <v>24</v>
      </c>
      <c r="H77" s="76" t="n">
        <v>1</v>
      </c>
      <c r="I77" s="76" t="n">
        <v>54660</v>
      </c>
      <c r="J77" s="75">
        <f>INDEX('가정'!$E$50:$E$54,MATCH(D77,'가정'!$A$50:$A$54,0))</f>
        <v/>
      </c>
    </row>
    <row r="78">
      <c r="A78" s="75" t="inlineStr">
        <is>
          <t>로지오가닉</t>
        </is>
      </c>
      <c r="B78" s="75" t="inlineStr">
        <is>
          <t>GFA 카탈로그</t>
        </is>
      </c>
      <c r="C78" s="75" t="inlineStr">
        <is>
          <t>2605_카탈로그_로지오가닉</t>
        </is>
      </c>
      <c r="D78" s="75" t="inlineStr">
        <is>
          <t>P2</t>
        </is>
      </c>
      <c r="E78" s="76" t="n">
        <v>51653</v>
      </c>
      <c r="F78" s="76" t="n">
        <v>2219</v>
      </c>
      <c r="G78" s="76" t="n">
        <v>57</v>
      </c>
      <c r="H78" s="76" t="n">
        <v>13</v>
      </c>
      <c r="I78" s="76" t="n">
        <v>420100</v>
      </c>
      <c r="J78" s="75">
        <f>INDEX('가정'!$E$50:$E$54,MATCH(D78,'가정'!$A$50:$A$54,0))</f>
        <v/>
      </c>
    </row>
    <row r="79">
      <c r="A79" s="75" t="inlineStr">
        <is>
          <t>로지오가닉</t>
        </is>
      </c>
      <c r="B79" s="75" t="inlineStr">
        <is>
          <t>GFA 카탈로그</t>
        </is>
      </c>
      <c r="C79" s="75" t="inlineStr">
        <is>
          <t>2605_카탈로그_로지오가닉</t>
        </is>
      </c>
      <c r="D79" s="75" t="inlineStr">
        <is>
          <t>P3</t>
        </is>
      </c>
      <c r="E79" s="76" t="n">
        <v>43709</v>
      </c>
      <c r="F79" s="76" t="n">
        <v>3637</v>
      </c>
      <c r="G79" s="76" t="n">
        <v>49</v>
      </c>
      <c r="H79" s="76" t="n">
        <v>15</v>
      </c>
      <c r="I79" s="76" t="n">
        <v>419330</v>
      </c>
      <c r="J79" s="75">
        <f>INDEX('가정'!$E$50:$E$54,MATCH(D79,'가정'!$A$50:$A$54,0))</f>
        <v/>
      </c>
    </row>
    <row r="80">
      <c r="A80" s="75" t="inlineStr">
        <is>
          <t>로지오가닉</t>
        </is>
      </c>
      <c r="B80" s="75" t="inlineStr">
        <is>
          <t>GFA 카탈로그</t>
        </is>
      </c>
      <c r="C80" s="75" t="inlineStr">
        <is>
          <t>2605_카탈로그_로지오가닉</t>
        </is>
      </c>
      <c r="D80" s="75" t="inlineStr">
        <is>
          <t>P4</t>
        </is>
      </c>
      <c r="E80" s="76" t="n">
        <v>46258</v>
      </c>
      <c r="F80" s="76" t="n">
        <v>2541</v>
      </c>
      <c r="G80" s="76" t="n">
        <v>48</v>
      </c>
      <c r="H80" s="76" t="n">
        <v>4</v>
      </c>
      <c r="I80" s="76" t="n">
        <v>79400</v>
      </c>
      <c r="J80" s="75">
        <f>INDEX('가정'!$E$50:$E$54,MATCH(D80,'가정'!$A$50:$A$54,0))</f>
        <v/>
      </c>
    </row>
    <row r="81">
      <c r="A81" s="75" t="inlineStr">
        <is>
          <t>로지오가닉</t>
        </is>
      </c>
      <c r="B81" s="75" t="inlineStr">
        <is>
          <t>GFA 카탈로그</t>
        </is>
      </c>
      <c r="C81" s="75" t="inlineStr">
        <is>
          <t>2605_카탈로그_로지오가닉</t>
        </is>
      </c>
      <c r="D81" s="75" t="inlineStr">
        <is>
          <t>P5</t>
        </is>
      </c>
      <c r="E81" s="76" t="n">
        <v>18120</v>
      </c>
      <c r="F81" s="76" t="n">
        <v>1597</v>
      </c>
      <c r="G81" s="76" t="n">
        <v>20</v>
      </c>
      <c r="H81" s="76" t="n">
        <v>5</v>
      </c>
      <c r="I81" s="76" t="n">
        <v>110300</v>
      </c>
      <c r="J81" s="75">
        <f>INDEX('가정'!$E$50:$E$54,MATCH(D81,'가정'!$A$50:$A$54,0))</f>
        <v/>
      </c>
    </row>
    <row r="82">
      <c r="A82" s="75" t="inlineStr">
        <is>
          <t>로지오가닉</t>
        </is>
      </c>
      <c r="B82" s="75" t="inlineStr">
        <is>
          <t>GFA 전환</t>
        </is>
      </c>
      <c r="C82" s="75" t="inlineStr">
        <is>
          <t>2610_로지오가닉_넾다세일</t>
        </is>
      </c>
      <c r="D82" s="75" t="inlineStr">
        <is>
          <t>P5</t>
        </is>
      </c>
      <c r="E82" s="76" t="n">
        <v>82280</v>
      </c>
      <c r="F82" s="76" t="n">
        <v>3377</v>
      </c>
      <c r="G82" s="76" t="n">
        <v>87</v>
      </c>
      <c r="H82" s="76" t="n">
        <v>6</v>
      </c>
      <c r="I82" s="76" t="n">
        <v>91550</v>
      </c>
      <c r="J82" s="75">
        <f>INDEX('가정'!$E$50:$E$54,MATCH(D82,'가정'!$A$50:$A$54,0))</f>
        <v/>
      </c>
    </row>
    <row r="83">
      <c r="A83" s="75" t="inlineStr">
        <is>
          <t>로지오가닉</t>
        </is>
      </c>
      <c r="B83" s="75" t="inlineStr">
        <is>
          <t>메타 스스</t>
        </is>
      </c>
      <c r="C83" s="75" t="inlineStr">
        <is>
          <t>SUS_로지오가닉_과자(상시)_구매_260506</t>
        </is>
      </c>
      <c r="D83" s="75" t="inlineStr">
        <is>
          <t>P1</t>
        </is>
      </c>
      <c r="E83" s="76" t="n">
        <v>297280</v>
      </c>
      <c r="F83" s="76" t="n">
        <v>23017</v>
      </c>
      <c r="G83" s="76" t="n">
        <v>344</v>
      </c>
      <c r="H83" s="76" t="n">
        <v>27</v>
      </c>
      <c r="I83" s="76" t="n">
        <v>908022</v>
      </c>
      <c r="J83" s="75">
        <f>INDEX('가정'!$E$50:$E$54,MATCH(D83,'가정'!$A$50:$A$54,0))</f>
        <v/>
      </c>
    </row>
    <row r="84">
      <c r="A84" s="75" t="inlineStr">
        <is>
          <t>로지오가닉</t>
        </is>
      </c>
      <c r="B84" s="75" t="inlineStr">
        <is>
          <t>메타 스스</t>
        </is>
      </c>
      <c r="C84" s="75" t="inlineStr">
        <is>
          <t>SUS_로지오가닉_과자(상시)_구매_260506</t>
        </is>
      </c>
      <c r="D84" s="75" t="inlineStr">
        <is>
          <t>P2</t>
        </is>
      </c>
      <c r="E84" s="76" t="n">
        <v>496129</v>
      </c>
      <c r="F84" s="76" t="n">
        <v>41615</v>
      </c>
      <c r="G84" s="76" t="n">
        <v>570</v>
      </c>
      <c r="H84" s="76" t="n">
        <v>35</v>
      </c>
      <c r="I84" s="76" t="n">
        <v>882265</v>
      </c>
      <c r="J84" s="75">
        <f>INDEX('가정'!$E$50:$E$54,MATCH(D84,'가정'!$A$50:$A$54,0))</f>
        <v/>
      </c>
    </row>
    <row r="85">
      <c r="A85" s="75" t="inlineStr">
        <is>
          <t>로지오가닉</t>
        </is>
      </c>
      <c r="B85" s="75" t="inlineStr">
        <is>
          <t>메타 스스</t>
        </is>
      </c>
      <c r="C85" s="75" t="inlineStr">
        <is>
          <t>SUS_로지오가닉_과자(상시)_구매_260506</t>
        </is>
      </c>
      <c r="D85" s="75" t="inlineStr">
        <is>
          <t>P3</t>
        </is>
      </c>
      <c r="E85" s="76" t="n">
        <v>501980</v>
      </c>
      <c r="F85" s="76" t="n">
        <v>37352</v>
      </c>
      <c r="G85" s="76" t="n">
        <v>479</v>
      </c>
      <c r="H85" s="76" t="n">
        <v>97</v>
      </c>
      <c r="I85" s="76" t="n">
        <v>2236938</v>
      </c>
      <c r="J85" s="75">
        <f>INDEX('가정'!$E$50:$E$54,MATCH(D85,'가정'!$A$50:$A$54,0))</f>
        <v/>
      </c>
    </row>
    <row r="86">
      <c r="A86" s="75" t="inlineStr">
        <is>
          <t>로지오가닉</t>
        </is>
      </c>
      <c r="B86" s="75" t="inlineStr">
        <is>
          <t>메타 스스</t>
        </is>
      </c>
      <c r="C86" s="75" t="inlineStr">
        <is>
          <t>SUS_로지오가닉_과자(상시)_구매_260506</t>
        </is>
      </c>
      <c r="D86" s="75" t="inlineStr">
        <is>
          <t>P4</t>
        </is>
      </c>
      <c r="E86" s="76" t="n">
        <v>488111</v>
      </c>
      <c r="F86" s="76" t="n">
        <v>38838</v>
      </c>
      <c r="G86" s="76" t="n">
        <v>588</v>
      </c>
      <c r="H86" s="76" t="n">
        <v>269</v>
      </c>
      <c r="I86" s="76" t="n">
        <v>8550973</v>
      </c>
      <c r="J86" s="75">
        <f>INDEX('가정'!$E$50:$E$54,MATCH(D86,'가정'!$A$50:$A$54,0))</f>
        <v/>
      </c>
    </row>
    <row r="87">
      <c r="A87" s="75" t="inlineStr">
        <is>
          <t>로지오가닉</t>
        </is>
      </c>
      <c r="B87" s="75" t="inlineStr">
        <is>
          <t>메타 스스</t>
        </is>
      </c>
      <c r="C87" s="75" t="inlineStr">
        <is>
          <t>SUS_로지오가닉_과자(상시)_구매_260506</t>
        </is>
      </c>
      <c r="D87" s="75" t="inlineStr">
        <is>
          <t>P5</t>
        </is>
      </c>
      <c r="E87" s="76" t="n">
        <v>97394</v>
      </c>
      <c r="F87" s="76" t="n">
        <v>8708</v>
      </c>
      <c r="G87" s="76" t="n">
        <v>122</v>
      </c>
      <c r="H87" s="76" t="n">
        <v>88</v>
      </c>
      <c r="I87" s="76" t="n">
        <v>3225072</v>
      </c>
      <c r="J87" s="75">
        <f>INDEX('가정'!$E$50:$E$54,MATCH(D87,'가정'!$A$50:$A$54,0))</f>
        <v/>
      </c>
    </row>
    <row r="88">
      <c r="A88" s="75" t="inlineStr">
        <is>
          <t>로지오가닉</t>
        </is>
      </c>
      <c r="B88" s="75" t="inlineStr">
        <is>
          <t>메타 자사몰</t>
        </is>
      </c>
      <c r="C88" s="75" t="inlineStr">
        <is>
          <t>SUS_로지_전환_자사몰(과자시크릿링크)_260818</t>
        </is>
      </c>
      <c r="D88" s="75" t="inlineStr">
        <is>
          <t>P1</t>
        </is>
      </c>
      <c r="E88" s="76" t="n">
        <v>202199</v>
      </c>
      <c r="F88" s="76" t="n">
        <v>25568</v>
      </c>
      <c r="G88" s="76" t="n">
        <v>487</v>
      </c>
      <c r="H88" s="76" t="n">
        <v>56</v>
      </c>
      <c r="I88" s="76" t="n">
        <v>1515700</v>
      </c>
      <c r="J88" s="75">
        <f>INDEX('가정'!$E$50:$E$54,MATCH(D88,'가정'!$A$50:$A$54,0))</f>
        <v/>
      </c>
    </row>
    <row r="89">
      <c r="A89" s="75" t="inlineStr">
        <is>
          <t>로지오가닉</t>
        </is>
      </c>
      <c r="B89" s="75" t="inlineStr">
        <is>
          <t>메타 자사몰</t>
        </is>
      </c>
      <c r="C89" s="75" t="inlineStr">
        <is>
          <t>SUS_로지_전환_자사몰(과자시크릿링크)_260818</t>
        </is>
      </c>
      <c r="D89" s="75" t="inlineStr">
        <is>
          <t>P2</t>
        </is>
      </c>
      <c r="E89" s="76" t="n">
        <v>347190</v>
      </c>
      <c r="F89" s="76" t="n">
        <v>44586</v>
      </c>
      <c r="G89" s="76" t="n">
        <v>827</v>
      </c>
      <c r="H89" s="76" t="n">
        <v>70</v>
      </c>
      <c r="I89" s="76" t="n">
        <v>1837200</v>
      </c>
      <c r="J89" s="75">
        <f>INDEX('가정'!$E$50:$E$54,MATCH(D89,'가정'!$A$50:$A$54,0))</f>
        <v/>
      </c>
    </row>
    <row r="90">
      <c r="A90" s="75" t="inlineStr">
        <is>
          <t>로지오가닉</t>
        </is>
      </c>
      <c r="B90" s="75" t="inlineStr">
        <is>
          <t>메타 자사몰</t>
        </is>
      </c>
      <c r="C90" s="75" t="inlineStr">
        <is>
          <t>SUS_로지_전환_자사몰(과자시크릿링크)_260818</t>
        </is>
      </c>
      <c r="D90" s="75" t="inlineStr">
        <is>
          <t>P3</t>
        </is>
      </c>
      <c r="E90" s="76" t="n">
        <v>353684</v>
      </c>
      <c r="F90" s="76" t="n">
        <v>40195</v>
      </c>
      <c r="G90" s="76" t="n">
        <v>778</v>
      </c>
      <c r="H90" s="76" t="n">
        <v>89</v>
      </c>
      <c r="I90" s="76" t="n">
        <v>1929100</v>
      </c>
      <c r="J90" s="75">
        <f>INDEX('가정'!$E$50:$E$54,MATCH(D90,'가정'!$A$50:$A$54,0))</f>
        <v/>
      </c>
    </row>
    <row r="91">
      <c r="A91" s="75" t="inlineStr">
        <is>
          <t>로지오가닉</t>
        </is>
      </c>
      <c r="B91" s="75" t="inlineStr">
        <is>
          <t>메타 자사몰</t>
        </is>
      </c>
      <c r="C91" s="75" t="inlineStr">
        <is>
          <t>SUS_로지_전환_자사몰(과자시크릿링크)_260818</t>
        </is>
      </c>
      <c r="D91" s="75" t="inlineStr">
        <is>
          <t>P4</t>
        </is>
      </c>
      <c r="E91" s="76" t="n">
        <v>339604</v>
      </c>
      <c r="F91" s="76" t="n">
        <v>32598</v>
      </c>
      <c r="G91" s="76" t="n">
        <v>714</v>
      </c>
      <c r="H91" s="76" t="n">
        <v>66</v>
      </c>
      <c r="I91" s="76" t="n">
        <v>1469300</v>
      </c>
      <c r="J91" s="75">
        <f>INDEX('가정'!$E$50:$E$54,MATCH(D91,'가정'!$A$50:$A$54,0))</f>
        <v/>
      </c>
    </row>
    <row r="92">
      <c r="A92" s="75" t="inlineStr">
        <is>
          <t>로지오가닉</t>
        </is>
      </c>
      <c r="B92" s="75" t="inlineStr">
        <is>
          <t>메타 자사몰</t>
        </is>
      </c>
      <c r="C92" s="75" t="inlineStr">
        <is>
          <t>SUS_로지_전환_자사몰(과자시크릿링크)_260818</t>
        </is>
      </c>
      <c r="D92" s="75" t="inlineStr">
        <is>
          <t>P5</t>
        </is>
      </c>
      <c r="E92" s="76" t="n">
        <v>163843</v>
      </c>
      <c r="F92" s="76" t="n">
        <v>15851</v>
      </c>
      <c r="G92" s="76" t="n">
        <v>331</v>
      </c>
      <c r="H92" s="76" t="n">
        <v>39</v>
      </c>
      <c r="I92" s="76" t="n">
        <v>859600</v>
      </c>
      <c r="J92" s="75">
        <f>INDEX('가정'!$E$50:$E$54,MATCH(D92,'가정'!$A$50:$A$54,0))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A1:G85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 ht="26" customHeight="1">
      <c r="A1" s="5" t="inlineStr">
        <is>
          <t>스토어</t>
        </is>
      </c>
      <c r="B1" s="5" t="inlineStr">
        <is>
          <t>날짜</t>
        </is>
      </c>
      <c r="C1" s="5" t="inlineStr">
        <is>
          <t>구분</t>
        </is>
      </c>
      <c r="D1" s="5" t="inlineStr">
        <is>
          <t>결제건수</t>
        </is>
      </c>
      <c r="E1" s="5" t="inlineStr">
        <is>
          <t>판매금액(총,원)</t>
        </is>
      </c>
      <c r="F1" s="5" t="inlineStr">
        <is>
          <t>판매금액(순,원)</t>
        </is>
      </c>
      <c r="G1" s="5" t="inlineStr">
        <is>
          <t>환불금액(원)</t>
        </is>
      </c>
    </row>
    <row r="2">
      <c r="A2" s="75" t="inlineStr">
        <is>
          <t>로지오가닉</t>
        </is>
      </c>
      <c r="B2" s="78" t="n">
        <v>46296</v>
      </c>
      <c r="C2" s="75" t="inlineStr">
        <is>
          <t>공구</t>
        </is>
      </c>
      <c r="D2" s="76" t="n">
        <v>1</v>
      </c>
      <c r="E2" s="76" t="n">
        <v>28900</v>
      </c>
      <c r="F2" s="76" t="n">
        <v>28900</v>
      </c>
      <c r="G2" s="76" t="n">
        <v>0</v>
      </c>
    </row>
    <row r="3">
      <c r="A3" s="75" t="inlineStr">
        <is>
          <t>로지오가닉</t>
        </is>
      </c>
      <c r="B3" s="78" t="n">
        <v>46296</v>
      </c>
      <c r="C3" s="75" t="inlineStr">
        <is>
          <t>일반</t>
        </is>
      </c>
      <c r="D3" s="76" t="n">
        <v>68</v>
      </c>
      <c r="E3" s="76" t="n">
        <v>1213180</v>
      </c>
      <c r="F3" s="76" t="n">
        <v>1136080</v>
      </c>
      <c r="G3" s="76" t="n">
        <v>77100</v>
      </c>
    </row>
    <row r="4">
      <c r="A4" s="75" t="inlineStr">
        <is>
          <t>로지오가닉</t>
        </is>
      </c>
      <c r="B4" s="78" t="n">
        <v>46297</v>
      </c>
      <c r="C4" s="75" t="inlineStr">
        <is>
          <t>공구</t>
        </is>
      </c>
      <c r="D4" s="76" t="n">
        <v>0</v>
      </c>
      <c r="E4" s="76" t="n">
        <v>0</v>
      </c>
      <c r="F4" s="76" t="n">
        <v>-99600</v>
      </c>
      <c r="G4" s="76" t="n">
        <v>99600</v>
      </c>
    </row>
    <row r="5">
      <c r="A5" s="75" t="inlineStr">
        <is>
          <t>로지오가닉</t>
        </is>
      </c>
      <c r="B5" s="78" t="n">
        <v>46297</v>
      </c>
      <c r="C5" s="75" t="inlineStr">
        <is>
          <t>일반</t>
        </is>
      </c>
      <c r="D5" s="76" t="n">
        <v>52</v>
      </c>
      <c r="E5" s="76" t="n">
        <v>793460</v>
      </c>
      <c r="F5" s="76" t="n">
        <v>750060</v>
      </c>
      <c r="G5" s="76" t="n">
        <v>43400</v>
      </c>
    </row>
    <row r="6">
      <c r="A6" s="75" t="inlineStr">
        <is>
          <t>로지오가닉</t>
        </is>
      </c>
      <c r="B6" s="78" t="n">
        <v>46298</v>
      </c>
      <c r="C6" s="75" t="inlineStr">
        <is>
          <t>공구</t>
        </is>
      </c>
      <c r="D6" s="76" t="n">
        <v>0</v>
      </c>
      <c r="E6" s="76" t="n">
        <v>0</v>
      </c>
      <c r="F6" s="76" t="n">
        <v>0</v>
      </c>
      <c r="G6" s="76" t="n">
        <v>0</v>
      </c>
    </row>
    <row r="7">
      <c r="A7" s="75" t="inlineStr">
        <is>
          <t>로지오가닉</t>
        </is>
      </c>
      <c r="B7" s="78" t="n">
        <v>46298</v>
      </c>
      <c r="C7" s="75" t="inlineStr">
        <is>
          <t>일반</t>
        </is>
      </c>
      <c r="D7" s="76" t="n">
        <v>29</v>
      </c>
      <c r="E7" s="76" t="n">
        <v>466260</v>
      </c>
      <c r="F7" s="76" t="n">
        <v>407260</v>
      </c>
      <c r="G7" s="76" t="n">
        <v>59000</v>
      </c>
    </row>
    <row r="8">
      <c r="A8" s="75" t="inlineStr">
        <is>
          <t>로지오가닉</t>
        </is>
      </c>
      <c r="B8" s="78" t="n">
        <v>46299</v>
      </c>
      <c r="C8" s="75" t="inlineStr">
        <is>
          <t>공구</t>
        </is>
      </c>
      <c r="D8" s="76" t="n">
        <v>0</v>
      </c>
      <c r="E8" s="76" t="n">
        <v>0</v>
      </c>
      <c r="F8" s="76" t="n">
        <v>0</v>
      </c>
      <c r="G8" s="76" t="n">
        <v>0</v>
      </c>
    </row>
    <row r="9">
      <c r="A9" s="75" t="inlineStr">
        <is>
          <t>로지오가닉</t>
        </is>
      </c>
      <c r="B9" s="78" t="n">
        <v>46299</v>
      </c>
      <c r="C9" s="75" t="inlineStr">
        <is>
          <t>일반</t>
        </is>
      </c>
      <c r="D9" s="76" t="n">
        <v>36</v>
      </c>
      <c r="E9" s="76" t="n">
        <v>615500</v>
      </c>
      <c r="F9" s="76" t="n">
        <v>556100</v>
      </c>
      <c r="G9" s="76" t="n">
        <v>59400</v>
      </c>
    </row>
    <row r="10">
      <c r="A10" s="75" t="inlineStr">
        <is>
          <t>로지오가닉</t>
        </is>
      </c>
      <c r="B10" s="78" t="n">
        <v>46300</v>
      </c>
      <c r="C10" s="75" t="inlineStr">
        <is>
          <t>공구</t>
        </is>
      </c>
      <c r="D10" s="76" t="n">
        <v>53</v>
      </c>
      <c r="E10" s="76" t="n">
        <v>1968700</v>
      </c>
      <c r="F10" s="76" t="n">
        <v>1916000</v>
      </c>
      <c r="G10" s="76" t="n">
        <v>52700</v>
      </c>
    </row>
    <row r="11">
      <c r="A11" s="75" t="inlineStr">
        <is>
          <t>로지오가닉</t>
        </is>
      </c>
      <c r="B11" s="78" t="n">
        <v>46300</v>
      </c>
      <c r="C11" s="75" t="inlineStr">
        <is>
          <t>일반</t>
        </is>
      </c>
      <c r="D11" s="76" t="n">
        <v>62</v>
      </c>
      <c r="E11" s="76" t="n">
        <v>1013700</v>
      </c>
      <c r="F11" s="76" t="n">
        <v>911600</v>
      </c>
      <c r="G11" s="76" t="n">
        <v>102100</v>
      </c>
    </row>
    <row r="12">
      <c r="A12" s="75" t="inlineStr">
        <is>
          <t>로지오가닉</t>
        </is>
      </c>
      <c r="B12" s="78" t="n">
        <v>46301</v>
      </c>
      <c r="C12" s="75" t="inlineStr">
        <is>
          <t>공구</t>
        </is>
      </c>
      <c r="D12" s="76" t="n">
        <v>137</v>
      </c>
      <c r="E12" s="76" t="n">
        <v>4815500</v>
      </c>
      <c r="F12" s="76" t="n">
        <v>4737100</v>
      </c>
      <c r="G12" s="76" t="n">
        <v>78400</v>
      </c>
    </row>
    <row r="13">
      <c r="A13" s="75" t="inlineStr">
        <is>
          <t>로지오가닉</t>
        </is>
      </c>
      <c r="B13" s="78" t="n">
        <v>46301</v>
      </c>
      <c r="C13" s="75" t="inlineStr">
        <is>
          <t>일반</t>
        </is>
      </c>
      <c r="D13" s="76" t="n">
        <v>56</v>
      </c>
      <c r="E13" s="76" t="n">
        <v>1104640</v>
      </c>
      <c r="F13" s="76" t="n">
        <v>1071340</v>
      </c>
      <c r="G13" s="76" t="n">
        <v>33300</v>
      </c>
    </row>
    <row r="14">
      <c r="A14" s="75" t="inlineStr">
        <is>
          <t>로지오가닉</t>
        </is>
      </c>
      <c r="B14" s="78" t="n">
        <v>46302</v>
      </c>
      <c r="C14" s="75" t="inlineStr">
        <is>
          <t>공구</t>
        </is>
      </c>
      <c r="D14" s="76" t="n">
        <v>35</v>
      </c>
      <c r="E14" s="76" t="n">
        <v>1388100</v>
      </c>
      <c r="F14" s="76" t="n">
        <v>1388100</v>
      </c>
      <c r="G14" s="76" t="n">
        <v>0</v>
      </c>
    </row>
    <row r="15">
      <c r="A15" s="75" t="inlineStr">
        <is>
          <t>로지오가닉</t>
        </is>
      </c>
      <c r="B15" s="78" t="n">
        <v>46302</v>
      </c>
      <c r="C15" s="75" t="inlineStr">
        <is>
          <t>일반</t>
        </is>
      </c>
      <c r="D15" s="76" t="n">
        <v>47</v>
      </c>
      <c r="E15" s="76" t="n">
        <v>738200</v>
      </c>
      <c r="F15" s="76" t="n">
        <v>689700</v>
      </c>
      <c r="G15" s="76" t="n">
        <v>48500</v>
      </c>
    </row>
    <row r="16">
      <c r="A16" s="75" t="inlineStr">
        <is>
          <t>로지오가닉</t>
        </is>
      </c>
      <c r="B16" s="78" t="n">
        <v>46303</v>
      </c>
      <c r="C16" s="75" t="inlineStr">
        <is>
          <t>공구</t>
        </is>
      </c>
      <c r="D16" s="76" t="n">
        <v>33</v>
      </c>
      <c r="E16" s="76" t="n">
        <v>1076800</v>
      </c>
      <c r="F16" s="76" t="n">
        <v>1076800</v>
      </c>
      <c r="G16" s="76" t="n">
        <v>0</v>
      </c>
    </row>
    <row r="17">
      <c r="A17" s="75" t="inlineStr">
        <is>
          <t>로지오가닉</t>
        </is>
      </c>
      <c r="B17" s="78" t="n">
        <v>46303</v>
      </c>
      <c r="C17" s="75" t="inlineStr">
        <is>
          <t>일반</t>
        </is>
      </c>
      <c r="D17" s="76" t="n">
        <v>118</v>
      </c>
      <c r="E17" s="76" t="n">
        <v>1755790</v>
      </c>
      <c r="F17" s="76" t="n">
        <v>1687810</v>
      </c>
      <c r="G17" s="76" t="n">
        <v>67980</v>
      </c>
    </row>
    <row r="18">
      <c r="A18" s="75" t="inlineStr">
        <is>
          <t>로지오가닉</t>
        </is>
      </c>
      <c r="B18" s="78" t="n">
        <v>46304</v>
      </c>
      <c r="C18" s="75" t="inlineStr">
        <is>
          <t>공구</t>
        </is>
      </c>
      <c r="D18" s="76" t="n">
        <v>13</v>
      </c>
      <c r="E18" s="76" t="n">
        <v>444370</v>
      </c>
      <c r="F18" s="76" t="n">
        <v>415470</v>
      </c>
      <c r="G18" s="76" t="n">
        <v>28900</v>
      </c>
    </row>
    <row r="19">
      <c r="A19" s="75" t="inlineStr">
        <is>
          <t>로지오가닉</t>
        </is>
      </c>
      <c r="B19" s="78" t="n">
        <v>46304</v>
      </c>
      <c r="C19" s="75" t="inlineStr">
        <is>
          <t>일반</t>
        </is>
      </c>
      <c r="D19" s="76" t="n">
        <v>112</v>
      </c>
      <c r="E19" s="76" t="n">
        <v>1646750</v>
      </c>
      <c r="F19" s="76" t="n">
        <v>1413220</v>
      </c>
      <c r="G19" s="76" t="n">
        <v>233530</v>
      </c>
    </row>
    <row r="20">
      <c r="A20" s="75" t="inlineStr">
        <is>
          <t>로지오가닉</t>
        </is>
      </c>
      <c r="B20" s="78" t="n">
        <v>46305</v>
      </c>
      <c r="C20" s="75" t="inlineStr">
        <is>
          <t>공구</t>
        </is>
      </c>
      <c r="D20" s="76" t="n">
        <v>29</v>
      </c>
      <c r="E20" s="76" t="n">
        <v>1057770</v>
      </c>
      <c r="F20" s="76" t="n">
        <v>970070</v>
      </c>
      <c r="G20" s="76" t="n">
        <v>87700</v>
      </c>
    </row>
    <row r="21">
      <c r="A21" s="75" t="inlineStr">
        <is>
          <t>로지오가닉</t>
        </is>
      </c>
      <c r="B21" s="78" t="n">
        <v>46305</v>
      </c>
      <c r="C21" s="75" t="inlineStr">
        <is>
          <t>일반</t>
        </is>
      </c>
      <c r="D21" s="76" t="n">
        <v>71</v>
      </c>
      <c r="E21" s="76" t="n">
        <v>1131300</v>
      </c>
      <c r="F21" s="76" t="n">
        <v>940500</v>
      </c>
      <c r="G21" s="76" t="n">
        <v>190800</v>
      </c>
    </row>
    <row r="22">
      <c r="A22" s="75" t="inlineStr">
        <is>
          <t>로지오가닉</t>
        </is>
      </c>
      <c r="B22" s="78" t="n">
        <v>46306</v>
      </c>
      <c r="C22" s="75" t="inlineStr">
        <is>
          <t>공구</t>
        </is>
      </c>
      <c r="D22" s="76" t="n">
        <v>62</v>
      </c>
      <c r="E22" s="76" t="n">
        <v>2256120</v>
      </c>
      <c r="F22" s="76" t="n">
        <v>2217220</v>
      </c>
      <c r="G22" s="76" t="n">
        <v>38900</v>
      </c>
    </row>
    <row r="23">
      <c r="A23" s="75" t="inlineStr">
        <is>
          <t>로지오가닉</t>
        </is>
      </c>
      <c r="B23" s="78" t="n">
        <v>46306</v>
      </c>
      <c r="C23" s="75" t="inlineStr">
        <is>
          <t>일반</t>
        </is>
      </c>
      <c r="D23" s="76" t="n">
        <v>114</v>
      </c>
      <c r="E23" s="76" t="n">
        <v>1792070</v>
      </c>
      <c r="F23" s="76" t="n">
        <v>1771170</v>
      </c>
      <c r="G23" s="76" t="n">
        <v>20900</v>
      </c>
    </row>
    <row r="24">
      <c r="A24" s="75" t="inlineStr">
        <is>
          <t>로지오가닉</t>
        </is>
      </c>
      <c r="B24" s="78" t="n">
        <v>46307</v>
      </c>
      <c r="C24" s="75" t="inlineStr">
        <is>
          <t>공구</t>
        </is>
      </c>
      <c r="D24" s="76" t="n">
        <v>159</v>
      </c>
      <c r="E24" s="76" t="n">
        <v>5581130</v>
      </c>
      <c r="F24" s="76" t="n">
        <v>5245230</v>
      </c>
      <c r="G24" s="76" t="n">
        <v>335900</v>
      </c>
    </row>
    <row r="25">
      <c r="A25" s="75" t="inlineStr">
        <is>
          <t>로지오가닉</t>
        </is>
      </c>
      <c r="B25" s="78" t="n">
        <v>46307</v>
      </c>
      <c r="C25" s="75" t="inlineStr">
        <is>
          <t>일반</t>
        </is>
      </c>
      <c r="D25" s="76" t="n">
        <v>158</v>
      </c>
      <c r="E25" s="76" t="n">
        <v>2637240</v>
      </c>
      <c r="F25" s="76" t="n">
        <v>2403370</v>
      </c>
      <c r="G25" s="76" t="n">
        <v>233870</v>
      </c>
    </row>
    <row r="26">
      <c r="A26" s="75" t="inlineStr">
        <is>
          <t>로지오가닉</t>
        </is>
      </c>
      <c r="B26" s="78" t="n">
        <v>46308</v>
      </c>
      <c r="C26" s="75" t="inlineStr">
        <is>
          <t>공구</t>
        </is>
      </c>
      <c r="D26" s="76" t="n">
        <v>76</v>
      </c>
      <c r="E26" s="76" t="n">
        <v>2775340</v>
      </c>
      <c r="F26" s="76" t="n">
        <v>2512040</v>
      </c>
      <c r="G26" s="76" t="n">
        <v>263300</v>
      </c>
    </row>
    <row r="27">
      <c r="A27" s="75" t="inlineStr">
        <is>
          <t>로지오가닉</t>
        </is>
      </c>
      <c r="B27" s="78" t="n">
        <v>46308</v>
      </c>
      <c r="C27" s="75" t="inlineStr">
        <is>
          <t>일반</t>
        </is>
      </c>
      <c r="D27" s="76" t="n">
        <v>144</v>
      </c>
      <c r="E27" s="76" t="n">
        <v>1941900</v>
      </c>
      <c r="F27" s="76" t="n">
        <v>1900200</v>
      </c>
      <c r="G27" s="76" t="n">
        <v>41700</v>
      </c>
    </row>
    <row r="28">
      <c r="A28" s="75" t="inlineStr">
        <is>
          <t>로지오가닉</t>
        </is>
      </c>
      <c r="B28" s="78" t="n">
        <v>46309</v>
      </c>
      <c r="C28" s="75" t="inlineStr">
        <is>
          <t>공구</t>
        </is>
      </c>
      <c r="D28" s="76" t="n">
        <v>53</v>
      </c>
      <c r="E28" s="76" t="n">
        <v>1931110</v>
      </c>
      <c r="F28" s="76" t="n">
        <v>1815010</v>
      </c>
      <c r="G28" s="76" t="n">
        <v>116100</v>
      </c>
    </row>
    <row r="29">
      <c r="A29" s="75" t="inlineStr">
        <is>
          <t>로지오가닉</t>
        </is>
      </c>
      <c r="B29" s="78" t="n">
        <v>46309</v>
      </c>
      <c r="C29" s="75" t="inlineStr">
        <is>
          <t>일반</t>
        </is>
      </c>
      <c r="D29" s="76" t="n">
        <v>116</v>
      </c>
      <c r="E29" s="76" t="n">
        <v>1903740</v>
      </c>
      <c r="F29" s="76" t="n">
        <v>1835840</v>
      </c>
      <c r="G29" s="76" t="n">
        <v>67900</v>
      </c>
    </row>
    <row r="30">
      <c r="A30" s="75" t="inlineStr">
        <is>
          <t>로지오가닉</t>
        </is>
      </c>
      <c r="B30" s="78" t="n">
        <v>46310</v>
      </c>
      <c r="C30" s="75" t="inlineStr">
        <is>
          <t>공구</t>
        </is>
      </c>
      <c r="D30" s="76" t="n">
        <v>39</v>
      </c>
      <c r="E30" s="76" t="n">
        <v>1399500</v>
      </c>
      <c r="F30" s="76" t="n">
        <v>1330100</v>
      </c>
      <c r="G30" s="76" t="n">
        <v>69400</v>
      </c>
    </row>
    <row r="31">
      <c r="A31" s="75" t="inlineStr">
        <is>
          <t>로지오가닉</t>
        </is>
      </c>
      <c r="B31" s="78" t="n">
        <v>46310</v>
      </c>
      <c r="C31" s="75" t="inlineStr">
        <is>
          <t>일반</t>
        </is>
      </c>
      <c r="D31" s="76" t="n">
        <v>112</v>
      </c>
      <c r="E31" s="76" t="n">
        <v>1698810</v>
      </c>
      <c r="F31" s="76" t="n">
        <v>1606210</v>
      </c>
      <c r="G31" s="76" t="n">
        <v>92600</v>
      </c>
    </row>
    <row r="32">
      <c r="A32" s="75" t="inlineStr">
        <is>
          <t>로지오가닉</t>
        </is>
      </c>
      <c r="B32" s="78" t="n">
        <v>46311</v>
      </c>
      <c r="C32" s="75" t="inlineStr">
        <is>
          <t>공구</t>
        </is>
      </c>
      <c r="D32" s="76" t="n">
        <v>30</v>
      </c>
      <c r="E32" s="76" t="n">
        <v>1118100</v>
      </c>
      <c r="F32" s="76" t="n">
        <v>1050300</v>
      </c>
      <c r="G32" s="76" t="n">
        <v>67800</v>
      </c>
    </row>
    <row r="33">
      <c r="A33" s="75" t="inlineStr">
        <is>
          <t>로지오가닉</t>
        </is>
      </c>
      <c r="B33" s="78" t="n">
        <v>46311</v>
      </c>
      <c r="C33" s="75" t="inlineStr">
        <is>
          <t>일반</t>
        </is>
      </c>
      <c r="D33" s="76" t="n">
        <v>122</v>
      </c>
      <c r="E33" s="76" t="n">
        <v>1898350</v>
      </c>
      <c r="F33" s="76" t="n">
        <v>1764150</v>
      </c>
      <c r="G33" s="76" t="n">
        <v>134200</v>
      </c>
    </row>
    <row r="34">
      <c r="A34" s="75" t="inlineStr">
        <is>
          <t>로지오가닉</t>
        </is>
      </c>
      <c r="B34" s="78" t="n">
        <v>46312</v>
      </c>
      <c r="C34" s="75" t="inlineStr">
        <is>
          <t>공구</t>
        </is>
      </c>
      <c r="D34" s="76" t="n">
        <v>39</v>
      </c>
      <c r="E34" s="76" t="n">
        <v>1438600</v>
      </c>
      <c r="F34" s="76" t="n">
        <v>1361100</v>
      </c>
      <c r="G34" s="76" t="n">
        <v>77500</v>
      </c>
    </row>
    <row r="35">
      <c r="A35" s="75" t="inlineStr">
        <is>
          <t>로지오가닉</t>
        </is>
      </c>
      <c r="B35" s="78" t="n">
        <v>46312</v>
      </c>
      <c r="C35" s="75" t="inlineStr">
        <is>
          <t>일반</t>
        </is>
      </c>
      <c r="D35" s="76" t="n">
        <v>81</v>
      </c>
      <c r="E35" s="76" t="n">
        <v>1531130</v>
      </c>
      <c r="F35" s="76" t="n">
        <v>1434030</v>
      </c>
      <c r="G35" s="76" t="n">
        <v>97100</v>
      </c>
    </row>
    <row r="36">
      <c r="A36" s="75" t="inlineStr">
        <is>
          <t>로지오가닉</t>
        </is>
      </c>
      <c r="B36" s="78" t="n">
        <v>46313</v>
      </c>
      <c r="C36" s="75" t="inlineStr">
        <is>
          <t>공구</t>
        </is>
      </c>
      <c r="D36" s="76" t="n">
        <v>48</v>
      </c>
      <c r="E36" s="76" t="n">
        <v>1697310</v>
      </c>
      <c r="F36" s="76" t="n">
        <v>1490910</v>
      </c>
      <c r="G36" s="76" t="n">
        <v>206400</v>
      </c>
    </row>
    <row r="37">
      <c r="A37" s="75" t="inlineStr">
        <is>
          <t>로지오가닉</t>
        </is>
      </c>
      <c r="B37" s="78" t="n">
        <v>46313</v>
      </c>
      <c r="C37" s="75" t="inlineStr">
        <is>
          <t>일반</t>
        </is>
      </c>
      <c r="D37" s="76" t="n">
        <v>97</v>
      </c>
      <c r="E37" s="76" t="n">
        <v>1617860</v>
      </c>
      <c r="F37" s="76" t="n">
        <v>1402500</v>
      </c>
      <c r="G37" s="76" t="n">
        <v>215360</v>
      </c>
    </row>
    <row r="38">
      <c r="A38" s="75" t="inlineStr">
        <is>
          <t>로지오가닉</t>
        </is>
      </c>
      <c r="B38" s="78" t="n">
        <v>46314</v>
      </c>
      <c r="C38" s="75" t="inlineStr">
        <is>
          <t>공구</t>
        </is>
      </c>
      <c r="D38" s="76" t="n">
        <v>40</v>
      </c>
      <c r="E38" s="76" t="n">
        <v>1252700</v>
      </c>
      <c r="F38" s="76" t="n">
        <v>1194800</v>
      </c>
      <c r="G38" s="76" t="n">
        <v>57900</v>
      </c>
    </row>
    <row r="39">
      <c r="A39" s="75" t="inlineStr">
        <is>
          <t>로지오가닉</t>
        </is>
      </c>
      <c r="B39" s="78" t="n">
        <v>46314</v>
      </c>
      <c r="C39" s="75" t="inlineStr">
        <is>
          <t>일반</t>
        </is>
      </c>
      <c r="D39" s="76" t="n">
        <v>71</v>
      </c>
      <c r="E39" s="76" t="n">
        <v>1107800</v>
      </c>
      <c r="F39" s="76" t="n">
        <v>1097900</v>
      </c>
      <c r="G39" s="76" t="n">
        <v>9900</v>
      </c>
    </row>
    <row r="40">
      <c r="A40" s="75" t="inlineStr">
        <is>
          <t>로지오가닉</t>
        </is>
      </c>
      <c r="B40" s="78" t="n">
        <v>46315</v>
      </c>
      <c r="C40" s="75" t="inlineStr">
        <is>
          <t>공구</t>
        </is>
      </c>
      <c r="D40" s="76" t="n">
        <v>24</v>
      </c>
      <c r="E40" s="76" t="n">
        <v>852600</v>
      </c>
      <c r="F40" s="76" t="n">
        <v>852600</v>
      </c>
      <c r="G40" s="76" t="n">
        <v>0</v>
      </c>
    </row>
    <row r="41">
      <c r="A41" s="75" t="inlineStr">
        <is>
          <t>로지오가닉</t>
        </is>
      </c>
      <c r="B41" s="78" t="n">
        <v>46315</v>
      </c>
      <c r="C41" s="75" t="inlineStr">
        <is>
          <t>일반</t>
        </is>
      </c>
      <c r="D41" s="76" t="n">
        <v>55</v>
      </c>
      <c r="E41" s="76" t="n">
        <v>750600</v>
      </c>
      <c r="F41" s="76" t="n">
        <v>745600</v>
      </c>
      <c r="G41" s="76" t="n">
        <v>5000</v>
      </c>
    </row>
    <row r="42">
      <c r="A42" s="75" t="inlineStr">
        <is>
          <t>로지오가닉</t>
        </is>
      </c>
      <c r="B42" s="78" t="n">
        <v>46316</v>
      </c>
      <c r="C42" s="75" t="inlineStr">
        <is>
          <t>공구</t>
        </is>
      </c>
      <c r="D42" s="76" t="n">
        <v>15</v>
      </c>
      <c r="E42" s="76" t="n">
        <v>549400</v>
      </c>
      <c r="F42" s="76" t="n">
        <v>549400</v>
      </c>
      <c r="G42" s="76" t="n">
        <v>0</v>
      </c>
    </row>
    <row r="43">
      <c r="A43" s="75" t="inlineStr">
        <is>
          <t>로지오가닉</t>
        </is>
      </c>
      <c r="B43" s="78" t="n">
        <v>46316</v>
      </c>
      <c r="C43" s="75" t="inlineStr">
        <is>
          <t>일반</t>
        </is>
      </c>
      <c r="D43" s="76" t="n">
        <v>48</v>
      </c>
      <c r="E43" s="76" t="n">
        <v>894100</v>
      </c>
      <c r="F43" s="76" t="n">
        <v>874100</v>
      </c>
      <c r="G43" s="76" t="n">
        <v>20000</v>
      </c>
    </row>
    <row r="44">
      <c r="A44" s="75" t="inlineStr">
        <is>
          <t>로지오가닉</t>
        </is>
      </c>
      <c r="B44" s="78" t="n">
        <v>46317</v>
      </c>
      <c r="C44" s="75" t="inlineStr">
        <is>
          <t>공구</t>
        </is>
      </c>
      <c r="D44" s="76" t="n">
        <v>16</v>
      </c>
      <c r="E44" s="76" t="n">
        <v>546100</v>
      </c>
      <c r="F44" s="76" t="n">
        <v>518100</v>
      </c>
      <c r="G44" s="76" t="n">
        <v>28000</v>
      </c>
    </row>
    <row r="45">
      <c r="A45" s="75" t="inlineStr">
        <is>
          <t>로지오가닉</t>
        </is>
      </c>
      <c r="B45" s="78" t="n">
        <v>46317</v>
      </c>
      <c r="C45" s="75" t="inlineStr">
        <is>
          <t>일반</t>
        </is>
      </c>
      <c r="D45" s="76" t="n">
        <v>42</v>
      </c>
      <c r="E45" s="76" t="n">
        <v>772700</v>
      </c>
      <c r="F45" s="76" t="n">
        <v>772700</v>
      </c>
      <c r="G45" s="76" t="n">
        <v>0</v>
      </c>
    </row>
    <row r="46">
      <c r="A46" s="75" t="inlineStr">
        <is>
          <t>로지오가닉</t>
        </is>
      </c>
      <c r="B46" s="78" t="n">
        <v>46318</v>
      </c>
      <c r="C46" s="75" t="inlineStr">
        <is>
          <t>공구</t>
        </is>
      </c>
      <c r="D46" s="76" t="n">
        <v>7</v>
      </c>
      <c r="E46" s="76" t="n">
        <v>230300</v>
      </c>
      <c r="F46" s="76" t="n">
        <v>230300</v>
      </c>
      <c r="G46" s="76" t="n">
        <v>0</v>
      </c>
    </row>
    <row r="47">
      <c r="A47" s="75" t="inlineStr">
        <is>
          <t>로지오가닉</t>
        </is>
      </c>
      <c r="B47" s="78" t="n">
        <v>46318</v>
      </c>
      <c r="C47" s="75" t="inlineStr">
        <is>
          <t>일반</t>
        </is>
      </c>
      <c r="D47" s="76" t="n">
        <v>61</v>
      </c>
      <c r="E47" s="76" t="n">
        <v>1373000</v>
      </c>
      <c r="F47" s="76" t="n">
        <v>1373000</v>
      </c>
      <c r="G47" s="76" t="n">
        <v>0</v>
      </c>
    </row>
    <row r="48">
      <c r="A48" s="75" t="inlineStr">
        <is>
          <t>로지오가닉</t>
        </is>
      </c>
      <c r="B48" s="78" t="n">
        <v>46319</v>
      </c>
      <c r="C48" s="75" t="inlineStr">
        <is>
          <t>공구</t>
        </is>
      </c>
      <c r="D48" s="76" t="n">
        <v>8</v>
      </c>
      <c r="E48" s="76" t="n">
        <v>226900</v>
      </c>
      <c r="F48" s="76" t="n">
        <v>198900</v>
      </c>
      <c r="G48" s="76" t="n">
        <v>28000</v>
      </c>
    </row>
    <row r="49">
      <c r="A49" s="75" t="inlineStr">
        <is>
          <t>로지오가닉</t>
        </is>
      </c>
      <c r="B49" s="78" t="n">
        <v>46319</v>
      </c>
      <c r="C49" s="75" t="inlineStr">
        <is>
          <t>일반</t>
        </is>
      </c>
      <c r="D49" s="76" t="n">
        <v>47</v>
      </c>
      <c r="E49" s="76" t="n">
        <v>1066660</v>
      </c>
      <c r="F49" s="76" t="n">
        <v>938160</v>
      </c>
      <c r="G49" s="76" t="n">
        <v>128500</v>
      </c>
    </row>
    <row r="50">
      <c r="A50" s="75" t="inlineStr">
        <is>
          <t>로지오가닉</t>
        </is>
      </c>
      <c r="B50" s="78" t="n">
        <v>46320</v>
      </c>
      <c r="C50" s="75" t="inlineStr">
        <is>
          <t>공구</t>
        </is>
      </c>
      <c r="D50" s="76" t="n">
        <v>7</v>
      </c>
      <c r="E50" s="76" t="n">
        <v>197900</v>
      </c>
      <c r="F50" s="76" t="n">
        <v>141900</v>
      </c>
      <c r="G50" s="76" t="n">
        <v>56000</v>
      </c>
    </row>
    <row r="51">
      <c r="A51" s="75" t="inlineStr">
        <is>
          <t>로지오가닉</t>
        </is>
      </c>
      <c r="B51" s="78" t="n">
        <v>46320</v>
      </c>
      <c r="C51" s="75" t="inlineStr">
        <is>
          <t>일반</t>
        </is>
      </c>
      <c r="D51" s="76" t="n">
        <v>45</v>
      </c>
      <c r="E51" s="76" t="n">
        <v>887400</v>
      </c>
      <c r="F51" s="76" t="n">
        <v>828800</v>
      </c>
      <c r="G51" s="76" t="n">
        <v>58600</v>
      </c>
    </row>
    <row r="52">
      <c r="A52" s="75" t="inlineStr">
        <is>
          <t>로지오가닉</t>
        </is>
      </c>
      <c r="B52" s="78" t="n">
        <v>46321</v>
      </c>
      <c r="C52" s="75" t="inlineStr">
        <is>
          <t>공구</t>
        </is>
      </c>
      <c r="D52" s="76" t="n">
        <v>116</v>
      </c>
      <c r="E52" s="76" t="n">
        <v>3675100</v>
      </c>
      <c r="F52" s="76" t="n">
        <v>3490800</v>
      </c>
      <c r="G52" s="76" t="n">
        <v>184300</v>
      </c>
    </row>
    <row r="53">
      <c r="A53" s="75" t="inlineStr">
        <is>
          <t>로지오가닉</t>
        </is>
      </c>
      <c r="B53" s="78" t="n">
        <v>46321</v>
      </c>
      <c r="C53" s="75" t="inlineStr">
        <is>
          <t>일반</t>
        </is>
      </c>
      <c r="D53" s="76" t="n">
        <v>134</v>
      </c>
      <c r="E53" s="76" t="n">
        <v>2011100</v>
      </c>
      <c r="F53" s="76" t="n">
        <v>1916700</v>
      </c>
      <c r="G53" s="76" t="n">
        <v>94400</v>
      </c>
    </row>
    <row r="54">
      <c r="A54" s="75" t="inlineStr">
        <is>
          <t>로지오가닉</t>
        </is>
      </c>
      <c r="B54" s="78" t="n">
        <v>46322</v>
      </c>
      <c r="C54" s="75" t="inlineStr">
        <is>
          <t>공구</t>
        </is>
      </c>
      <c r="D54" s="76" t="n">
        <v>71</v>
      </c>
      <c r="E54" s="76" t="n">
        <v>2373000</v>
      </c>
      <c r="F54" s="76" t="n">
        <v>2137100</v>
      </c>
      <c r="G54" s="76" t="n">
        <v>235900</v>
      </c>
    </row>
    <row r="55">
      <c r="A55" s="75" t="inlineStr">
        <is>
          <t>로지오가닉</t>
        </is>
      </c>
      <c r="B55" s="78" t="n">
        <v>46322</v>
      </c>
      <c r="C55" s="75" t="inlineStr">
        <is>
          <t>일반</t>
        </is>
      </c>
      <c r="D55" s="76" t="n">
        <v>97</v>
      </c>
      <c r="E55" s="76" t="n">
        <v>1415260</v>
      </c>
      <c r="F55" s="76" t="n">
        <v>1358860</v>
      </c>
      <c r="G55" s="76" t="n">
        <v>56400</v>
      </c>
    </row>
    <row r="56">
      <c r="A56" s="75" t="inlineStr">
        <is>
          <t>로지오가닉</t>
        </is>
      </c>
      <c r="B56" s="78" t="n">
        <v>46323</v>
      </c>
      <c r="C56" s="75" t="inlineStr">
        <is>
          <t>공구</t>
        </is>
      </c>
      <c r="D56" s="76" t="n">
        <v>40</v>
      </c>
      <c r="E56" s="76" t="n">
        <v>1385880</v>
      </c>
      <c r="F56" s="76" t="n">
        <v>1278440</v>
      </c>
      <c r="G56" s="76" t="n">
        <v>107440</v>
      </c>
    </row>
    <row r="57">
      <c r="A57" s="75" t="inlineStr">
        <is>
          <t>로지오가닉</t>
        </is>
      </c>
      <c r="B57" s="78" t="n">
        <v>46323</v>
      </c>
      <c r="C57" s="75" t="inlineStr">
        <is>
          <t>일반</t>
        </is>
      </c>
      <c r="D57" s="76" t="n">
        <v>142</v>
      </c>
      <c r="E57" s="76" t="n">
        <v>2233470</v>
      </c>
      <c r="F57" s="76" t="n">
        <v>2154370</v>
      </c>
      <c r="G57" s="76" t="n">
        <v>79100</v>
      </c>
    </row>
    <row r="58">
      <c r="A58" s="75" t="inlineStr">
        <is>
          <t>아넬라</t>
        </is>
      </c>
      <c r="B58" s="78" t="n">
        <v>46296</v>
      </c>
      <c r="C58" s="75" t="inlineStr">
        <is>
          <t>일반</t>
        </is>
      </c>
      <c r="D58" s="76" t="n">
        <v>108</v>
      </c>
      <c r="E58" s="76" t="n">
        <v>2703990</v>
      </c>
      <c r="F58" s="76" t="n">
        <v>2555690</v>
      </c>
      <c r="G58" s="76" t="n">
        <v>148300</v>
      </c>
    </row>
    <row r="59">
      <c r="A59" s="75" t="inlineStr">
        <is>
          <t>아넬라</t>
        </is>
      </c>
      <c r="B59" s="78" t="n">
        <v>46297</v>
      </c>
      <c r="C59" s="75" t="inlineStr">
        <is>
          <t>일반</t>
        </is>
      </c>
      <c r="D59" s="76" t="n">
        <v>128</v>
      </c>
      <c r="E59" s="76" t="n">
        <v>2928370</v>
      </c>
      <c r="F59" s="76" t="n">
        <v>2841670</v>
      </c>
      <c r="G59" s="76" t="n">
        <v>86700</v>
      </c>
    </row>
    <row r="60">
      <c r="A60" s="75" t="inlineStr">
        <is>
          <t>아넬라</t>
        </is>
      </c>
      <c r="B60" s="78" t="n">
        <v>46298</v>
      </c>
      <c r="C60" s="75" t="inlineStr">
        <is>
          <t>일반</t>
        </is>
      </c>
      <c r="D60" s="76" t="n">
        <v>50</v>
      </c>
      <c r="E60" s="76" t="n">
        <v>1607600</v>
      </c>
      <c r="F60" s="76" t="n">
        <v>1562700</v>
      </c>
      <c r="G60" s="76" t="n">
        <v>44900</v>
      </c>
    </row>
    <row r="61">
      <c r="A61" s="75" t="inlineStr">
        <is>
          <t>아넬라</t>
        </is>
      </c>
      <c r="B61" s="78" t="n">
        <v>46299</v>
      </c>
      <c r="C61" s="75" t="inlineStr">
        <is>
          <t>일반</t>
        </is>
      </c>
      <c r="D61" s="76" t="n">
        <v>86</v>
      </c>
      <c r="E61" s="76" t="n">
        <v>2288600</v>
      </c>
      <c r="F61" s="76" t="n">
        <v>2127700</v>
      </c>
      <c r="G61" s="76" t="n">
        <v>160900</v>
      </c>
    </row>
    <row r="62">
      <c r="A62" s="75" t="inlineStr">
        <is>
          <t>아넬라</t>
        </is>
      </c>
      <c r="B62" s="78" t="n">
        <v>46300</v>
      </c>
      <c r="C62" s="75" t="inlineStr">
        <is>
          <t>일반</t>
        </is>
      </c>
      <c r="D62" s="76" t="n">
        <v>144</v>
      </c>
      <c r="E62" s="76" t="n">
        <v>3366300</v>
      </c>
      <c r="F62" s="76" t="n">
        <v>3279350</v>
      </c>
      <c r="G62" s="76" t="n">
        <v>86950</v>
      </c>
    </row>
    <row r="63">
      <c r="A63" s="75" t="inlineStr">
        <is>
          <t>아넬라</t>
        </is>
      </c>
      <c r="B63" s="78" t="n">
        <v>46301</v>
      </c>
      <c r="C63" s="75" t="inlineStr">
        <is>
          <t>일반</t>
        </is>
      </c>
      <c r="D63" s="76" t="n">
        <v>140</v>
      </c>
      <c r="E63" s="76" t="n">
        <v>2884610</v>
      </c>
      <c r="F63" s="76" t="n">
        <v>2688010</v>
      </c>
      <c r="G63" s="76" t="n">
        <v>196600</v>
      </c>
    </row>
    <row r="64">
      <c r="A64" s="75" t="inlineStr">
        <is>
          <t>아넬라</t>
        </is>
      </c>
      <c r="B64" s="78" t="n">
        <v>46302</v>
      </c>
      <c r="C64" s="75" t="inlineStr">
        <is>
          <t>일반</t>
        </is>
      </c>
      <c r="D64" s="76" t="n">
        <v>114</v>
      </c>
      <c r="E64" s="76" t="n">
        <v>2361290</v>
      </c>
      <c r="F64" s="76" t="n">
        <v>2268990</v>
      </c>
      <c r="G64" s="76" t="n">
        <v>92300</v>
      </c>
    </row>
    <row r="65">
      <c r="A65" s="75" t="inlineStr">
        <is>
          <t>아넬라</t>
        </is>
      </c>
      <c r="B65" s="78" t="n">
        <v>46303</v>
      </c>
      <c r="C65" s="75" t="inlineStr">
        <is>
          <t>일반</t>
        </is>
      </c>
      <c r="D65" s="76" t="n">
        <v>113</v>
      </c>
      <c r="E65" s="76" t="n">
        <v>2180700</v>
      </c>
      <c r="F65" s="76" t="n">
        <v>2029800</v>
      </c>
      <c r="G65" s="76" t="n">
        <v>150900</v>
      </c>
    </row>
    <row r="66">
      <c r="A66" s="75" t="inlineStr">
        <is>
          <t>아넬라</t>
        </is>
      </c>
      <c r="B66" s="78" t="n">
        <v>46304</v>
      </c>
      <c r="C66" s="75" t="inlineStr">
        <is>
          <t>일반</t>
        </is>
      </c>
      <c r="D66" s="76" t="n">
        <v>92</v>
      </c>
      <c r="E66" s="76" t="n">
        <v>1940450</v>
      </c>
      <c r="F66" s="76" t="n">
        <v>1707600</v>
      </c>
      <c r="G66" s="76" t="n">
        <v>232850</v>
      </c>
    </row>
    <row r="67">
      <c r="A67" s="75" t="inlineStr">
        <is>
          <t>아넬라</t>
        </is>
      </c>
      <c r="B67" s="78" t="n">
        <v>46305</v>
      </c>
      <c r="C67" s="75" t="inlineStr">
        <is>
          <t>일반</t>
        </is>
      </c>
      <c r="D67" s="76" t="n">
        <v>62</v>
      </c>
      <c r="E67" s="76" t="n">
        <v>1565110</v>
      </c>
      <c r="F67" s="76" t="n">
        <v>1539510</v>
      </c>
      <c r="G67" s="76" t="n">
        <v>25600</v>
      </c>
    </row>
    <row r="68">
      <c r="A68" s="75" t="inlineStr">
        <is>
          <t>아넬라</t>
        </is>
      </c>
      <c r="B68" s="78" t="n">
        <v>46306</v>
      </c>
      <c r="C68" s="75" t="inlineStr">
        <is>
          <t>일반</t>
        </is>
      </c>
      <c r="D68" s="76" t="n">
        <v>81</v>
      </c>
      <c r="E68" s="76" t="n">
        <v>1765700</v>
      </c>
      <c r="F68" s="76" t="n">
        <v>1718200</v>
      </c>
      <c r="G68" s="76" t="n">
        <v>47500</v>
      </c>
    </row>
    <row r="69">
      <c r="A69" s="75" t="inlineStr">
        <is>
          <t>아넬라</t>
        </is>
      </c>
      <c r="B69" s="78" t="n">
        <v>46307</v>
      </c>
      <c r="C69" s="75" t="inlineStr">
        <is>
          <t>일반</t>
        </is>
      </c>
      <c r="D69" s="76" t="n">
        <v>132</v>
      </c>
      <c r="E69" s="76" t="n">
        <v>2585730</v>
      </c>
      <c r="F69" s="76" t="n">
        <v>2414630</v>
      </c>
      <c r="G69" s="76" t="n">
        <v>171100</v>
      </c>
    </row>
    <row r="70">
      <c r="A70" s="75" t="inlineStr">
        <is>
          <t>아넬라</t>
        </is>
      </c>
      <c r="B70" s="78" t="n">
        <v>46308</v>
      </c>
      <c r="C70" s="75" t="inlineStr">
        <is>
          <t>일반</t>
        </is>
      </c>
      <c r="D70" s="76" t="n">
        <v>619</v>
      </c>
      <c r="E70" s="76" t="n">
        <v>22554990</v>
      </c>
      <c r="F70" s="76" t="n">
        <v>21625190</v>
      </c>
      <c r="G70" s="76" t="n">
        <v>929800</v>
      </c>
    </row>
    <row r="71">
      <c r="A71" s="75" t="inlineStr">
        <is>
          <t>아넬라</t>
        </is>
      </c>
      <c r="B71" s="78" t="n">
        <v>46309</v>
      </c>
      <c r="C71" s="75" t="inlineStr">
        <is>
          <t>일반</t>
        </is>
      </c>
      <c r="D71" s="76" t="n">
        <v>270</v>
      </c>
      <c r="E71" s="76" t="n">
        <v>8880730</v>
      </c>
      <c r="F71" s="76" t="n">
        <v>8506430</v>
      </c>
      <c r="G71" s="76" t="n">
        <v>374300</v>
      </c>
    </row>
    <row r="72">
      <c r="A72" s="75" t="inlineStr">
        <is>
          <t>아넬라</t>
        </is>
      </c>
      <c r="B72" s="78" t="n">
        <v>46310</v>
      </c>
      <c r="C72" s="75" t="inlineStr">
        <is>
          <t>일반</t>
        </is>
      </c>
      <c r="D72" s="76" t="n">
        <v>171</v>
      </c>
      <c r="E72" s="76" t="n">
        <v>3940130</v>
      </c>
      <c r="F72" s="76" t="n">
        <v>3548030</v>
      </c>
      <c r="G72" s="76" t="n">
        <v>392100</v>
      </c>
    </row>
    <row r="73">
      <c r="A73" s="75" t="inlineStr">
        <is>
          <t>아넬라</t>
        </is>
      </c>
      <c r="B73" s="78" t="n">
        <v>46311</v>
      </c>
      <c r="C73" s="75" t="inlineStr">
        <is>
          <t>일반</t>
        </is>
      </c>
      <c r="D73" s="76" t="n">
        <v>126</v>
      </c>
      <c r="E73" s="76" t="n">
        <v>2646910</v>
      </c>
      <c r="F73" s="76" t="n">
        <v>2587410</v>
      </c>
      <c r="G73" s="76" t="n">
        <v>59500</v>
      </c>
    </row>
    <row r="74">
      <c r="A74" s="75" t="inlineStr">
        <is>
          <t>아넬라</t>
        </is>
      </c>
      <c r="B74" s="78" t="n">
        <v>46312</v>
      </c>
      <c r="C74" s="75" t="inlineStr">
        <is>
          <t>일반</t>
        </is>
      </c>
      <c r="D74" s="76" t="n">
        <v>63</v>
      </c>
      <c r="E74" s="76" t="n">
        <v>1625700</v>
      </c>
      <c r="F74" s="76" t="n">
        <v>1616800</v>
      </c>
      <c r="G74" s="76" t="n">
        <v>8900</v>
      </c>
    </row>
    <row r="75">
      <c r="A75" s="75" t="inlineStr">
        <is>
          <t>아넬라</t>
        </is>
      </c>
      <c r="B75" s="78" t="n">
        <v>46313</v>
      </c>
      <c r="C75" s="75" t="inlineStr">
        <is>
          <t>일반</t>
        </is>
      </c>
      <c r="D75" s="76" t="n">
        <v>1352</v>
      </c>
      <c r="E75" s="76" t="n">
        <v>13777240</v>
      </c>
      <c r="F75" s="76" t="n">
        <v>13272190</v>
      </c>
      <c r="G75" s="76" t="n">
        <v>505050</v>
      </c>
    </row>
    <row r="76">
      <c r="A76" s="75" t="inlineStr">
        <is>
          <t>아넬라</t>
        </is>
      </c>
      <c r="B76" s="78" t="n">
        <v>46314</v>
      </c>
      <c r="C76" s="75" t="inlineStr">
        <is>
          <t>일반</t>
        </is>
      </c>
      <c r="D76" s="76" t="n">
        <v>658</v>
      </c>
      <c r="E76" s="76" t="n">
        <v>7150210</v>
      </c>
      <c r="F76" s="76" t="n">
        <v>6657910</v>
      </c>
      <c r="G76" s="76" t="n">
        <v>492300</v>
      </c>
    </row>
    <row r="77">
      <c r="A77" s="75" t="inlineStr">
        <is>
          <t>아넬라</t>
        </is>
      </c>
      <c r="B77" s="78" t="n">
        <v>46315</v>
      </c>
      <c r="C77" s="75" t="inlineStr">
        <is>
          <t>일반</t>
        </is>
      </c>
      <c r="D77" s="76" t="n">
        <v>110</v>
      </c>
      <c r="E77" s="76" t="n">
        <v>2021620</v>
      </c>
      <c r="F77" s="76" t="n">
        <v>1926720</v>
      </c>
      <c r="G77" s="76" t="n">
        <v>94900</v>
      </c>
    </row>
    <row r="78">
      <c r="A78" s="75" t="inlineStr">
        <is>
          <t>아넬라</t>
        </is>
      </c>
      <c r="B78" s="78" t="n">
        <v>46316</v>
      </c>
      <c r="C78" s="75" t="inlineStr">
        <is>
          <t>일반</t>
        </is>
      </c>
      <c r="D78" s="76" t="n">
        <v>142</v>
      </c>
      <c r="E78" s="76" t="n">
        <v>3292400</v>
      </c>
      <c r="F78" s="76" t="n">
        <v>3163800</v>
      </c>
      <c r="G78" s="76" t="n">
        <v>128600</v>
      </c>
    </row>
    <row r="79">
      <c r="A79" s="75" t="inlineStr">
        <is>
          <t>아넬라</t>
        </is>
      </c>
      <c r="B79" s="78" t="n">
        <v>46317</v>
      </c>
      <c r="C79" s="75" t="inlineStr">
        <is>
          <t>일반</t>
        </is>
      </c>
      <c r="D79" s="76" t="n">
        <v>110</v>
      </c>
      <c r="E79" s="76" t="n">
        <v>2496520</v>
      </c>
      <c r="F79" s="76" t="n">
        <v>2299820</v>
      </c>
      <c r="G79" s="76" t="n">
        <v>196700</v>
      </c>
    </row>
    <row r="80">
      <c r="A80" s="75" t="inlineStr">
        <is>
          <t>아넬라</t>
        </is>
      </c>
      <c r="B80" s="78" t="n">
        <v>46318</v>
      </c>
      <c r="C80" s="75" t="inlineStr">
        <is>
          <t>일반</t>
        </is>
      </c>
      <c r="D80" s="76" t="n">
        <v>88</v>
      </c>
      <c r="E80" s="76" t="n">
        <v>1894200</v>
      </c>
      <c r="F80" s="76" t="n">
        <v>1827000</v>
      </c>
      <c r="G80" s="76" t="n">
        <v>67200</v>
      </c>
    </row>
    <row r="81">
      <c r="A81" s="75" t="inlineStr">
        <is>
          <t>아넬라</t>
        </is>
      </c>
      <c r="B81" s="78" t="n">
        <v>46319</v>
      </c>
      <c r="C81" s="75" t="inlineStr">
        <is>
          <t>일반</t>
        </is>
      </c>
      <c r="D81" s="76" t="n">
        <v>64</v>
      </c>
      <c r="E81" s="76" t="n">
        <v>1424500</v>
      </c>
      <c r="F81" s="76" t="n">
        <v>1346900</v>
      </c>
      <c r="G81" s="76" t="n">
        <v>77600</v>
      </c>
    </row>
    <row r="82">
      <c r="A82" s="75" t="inlineStr">
        <is>
          <t>아넬라</t>
        </is>
      </c>
      <c r="B82" s="78" t="n">
        <v>46320</v>
      </c>
      <c r="C82" s="75" t="inlineStr">
        <is>
          <t>일반</t>
        </is>
      </c>
      <c r="D82" s="76" t="n">
        <v>73</v>
      </c>
      <c r="E82" s="76" t="n">
        <v>1396660</v>
      </c>
      <c r="F82" s="76" t="n">
        <v>1245360</v>
      </c>
      <c r="G82" s="76" t="n">
        <v>151300</v>
      </c>
    </row>
    <row r="83">
      <c r="A83" s="75" t="inlineStr">
        <is>
          <t>아넬라</t>
        </is>
      </c>
      <c r="B83" s="78" t="n">
        <v>46321</v>
      </c>
      <c r="C83" s="75" t="inlineStr">
        <is>
          <t>일반</t>
        </is>
      </c>
      <c r="D83" s="76" t="n">
        <v>384</v>
      </c>
      <c r="E83" s="76" t="n">
        <v>13920410</v>
      </c>
      <c r="F83" s="76" t="n">
        <v>13233510</v>
      </c>
      <c r="G83" s="76" t="n">
        <v>686900</v>
      </c>
    </row>
    <row r="84">
      <c r="A84" s="75" t="inlineStr">
        <is>
          <t>아넬라</t>
        </is>
      </c>
      <c r="B84" s="78" t="n">
        <v>46322</v>
      </c>
      <c r="C84" s="75" t="inlineStr">
        <is>
          <t>일반</t>
        </is>
      </c>
      <c r="D84" s="76" t="n">
        <v>230</v>
      </c>
      <c r="E84" s="76" t="n">
        <v>7951780</v>
      </c>
      <c r="F84" s="76" t="n">
        <v>7555680</v>
      </c>
      <c r="G84" s="76" t="n">
        <v>396100</v>
      </c>
    </row>
    <row r="85">
      <c r="A85" s="75" t="inlineStr">
        <is>
          <t>아넬라</t>
        </is>
      </c>
      <c r="B85" s="78" t="n">
        <v>46323</v>
      </c>
      <c r="C85" s="75" t="inlineStr">
        <is>
          <t>일반</t>
        </is>
      </c>
      <c r="D85" s="76" t="n">
        <v>146</v>
      </c>
      <c r="E85" s="76" t="n">
        <v>4652400</v>
      </c>
      <c r="F85" s="76" t="n">
        <v>4228230</v>
      </c>
      <c r="G85" s="76" t="n">
        <v>424170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/>
  </sheetPr>
  <dimension ref="A1:H15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2" customWidth="1" min="4" max="4"/>
    <col width="16" customWidth="1" min="5" max="5"/>
    <col width="16" customWidth="1" min="6" max="6"/>
    <col width="14" customWidth="1" min="7" max="7"/>
    <col width="8" customWidth="1" min="8" max="8"/>
  </cols>
  <sheetData>
    <row r="1" ht="26" customHeight="1">
      <c r="A1" s="5" t="inlineStr">
        <is>
          <t>스토어</t>
        </is>
      </c>
      <c r="B1" s="5" t="inlineStr">
        <is>
          <t>채널상품번호</t>
        </is>
      </c>
      <c r="C1" s="5" t="inlineStr">
        <is>
          <t>채널상품명</t>
        </is>
      </c>
      <c r="D1" s="5" t="inlineStr">
        <is>
          <t>결제건수</t>
        </is>
      </c>
      <c r="E1" s="5" t="inlineStr">
        <is>
          <t>판매금액(총,원)</t>
        </is>
      </c>
      <c r="F1" s="5" t="inlineStr">
        <is>
          <t>판매금액(순,원)</t>
        </is>
      </c>
      <c r="G1" s="5" t="inlineStr">
        <is>
          <t>환불금액(원)</t>
        </is>
      </c>
      <c r="H1" s="5" t="inlineStr">
        <is>
          <t>구분</t>
        </is>
      </c>
    </row>
    <row r="2">
      <c r="A2" s="75" t="inlineStr">
        <is>
          <t>아넬라</t>
        </is>
      </c>
      <c r="B2" s="79" t="inlineStr">
        <is>
          <t>6567763298</t>
        </is>
      </c>
      <c r="C2" s="75" t="inlineStr">
        <is>
          <t>아넬라퓨레 10팩+10팩 짜먹는아넬라 시작과일A 과일퓨레</t>
        </is>
      </c>
      <c r="D2" s="76" t="n">
        <v>1381</v>
      </c>
      <c r="E2" s="76" t="n">
        <v>62408830</v>
      </c>
      <c r="F2" s="76" t="n">
        <v>59526430</v>
      </c>
      <c r="G2" s="76" t="n">
        <v>2882400</v>
      </c>
      <c r="H2" s="75">
        <f>IF(ISNUMBER(SEARCH("공동구매",C2)),"공구","일반")</f>
        <v/>
      </c>
    </row>
    <row r="3">
      <c r="A3" s="75" t="inlineStr">
        <is>
          <t>아넬라</t>
        </is>
      </c>
      <c r="B3" s="79" t="inlineStr">
        <is>
          <t>4699796793</t>
        </is>
      </c>
      <c r="C3" s="75" t="inlineStr">
        <is>
          <t>아넬라 짜먹는 아넬라 HOP 사과 1팩 외 과일퓨레 아기간식</t>
        </is>
      </c>
      <c r="D3" s="76" t="n">
        <v>1739</v>
      </c>
      <c r="E3" s="76" t="n">
        <v>15751140</v>
      </c>
      <c r="F3" s="76" t="n">
        <v>15265790</v>
      </c>
      <c r="G3" s="76" t="n">
        <v>485350</v>
      </c>
      <c r="H3" s="75">
        <f>IF(ISNUMBER(SEARCH("공동구매",C3)),"공구","일반")</f>
        <v/>
      </c>
    </row>
    <row r="4">
      <c r="A4" s="75" t="inlineStr">
        <is>
          <t>아넬라</t>
        </is>
      </c>
      <c r="B4" s="79" t="inlineStr">
        <is>
          <t>397517974</t>
        </is>
      </c>
      <c r="C4" s="75" t="inlineStr">
        <is>
          <t>아넬라 과일퓨레 아기 첫과일 세트 (5팩+HOP3팩) 이유식퓨레 아이간식</t>
        </is>
      </c>
      <c r="D4" s="76" t="n">
        <v>286</v>
      </c>
      <c r="E4" s="76" t="n">
        <v>8696460</v>
      </c>
      <c r="F4" s="76" t="n">
        <v>8252390</v>
      </c>
      <c r="G4" s="76" t="n">
        <v>444070</v>
      </c>
      <c r="H4" s="75">
        <f>IF(ISNUMBER(SEARCH("공동구매",C4)),"공구","일반")</f>
        <v/>
      </c>
    </row>
    <row r="5">
      <c r="A5" s="75" t="inlineStr">
        <is>
          <t>아넬라</t>
        </is>
      </c>
      <c r="B5" s="79" t="inlineStr">
        <is>
          <t>5594143615</t>
        </is>
      </c>
      <c r="C5" s="75" t="inlineStr">
        <is>
          <t>아넬라 짜먹는 과일퓨레 HOP 20팩 골라 담기 사과 이유식 아기퓨레 아이간식</t>
        </is>
      </c>
      <c r="D5" s="76" t="n">
        <v>395</v>
      </c>
      <c r="E5" s="76" t="n">
        <v>5097810</v>
      </c>
      <c r="F5" s="76" t="n">
        <v>4851810</v>
      </c>
      <c r="G5" s="76" t="n">
        <v>246000</v>
      </c>
      <c r="H5" s="75">
        <f>IF(ISNUMBER(SEARCH("공동구매",C5)),"공구","일반")</f>
        <v/>
      </c>
    </row>
    <row r="6">
      <c r="A6" s="75" t="inlineStr">
        <is>
          <t>아넬라</t>
        </is>
      </c>
      <c r="B6" s="79" t="inlineStr">
        <is>
          <t>6606201032</t>
        </is>
      </c>
      <c r="C6" s="75" t="inlineStr">
        <is>
          <t>로지오가닉 유기농 아기쌀과자 시작퍼프 8봉</t>
        </is>
      </c>
      <c r="D6" s="76" t="n">
        <v>238</v>
      </c>
      <c r="E6" s="76" t="n">
        <v>4883000</v>
      </c>
      <c r="F6" s="76" t="n">
        <v>3965700</v>
      </c>
      <c r="G6" s="76" t="n">
        <v>917300</v>
      </c>
      <c r="H6" s="75">
        <f>IF(ISNUMBER(SEARCH("공동구매",C6)),"공구","일반")</f>
        <v/>
      </c>
    </row>
    <row r="7">
      <c r="A7" s="75" t="inlineStr">
        <is>
          <t>아넬라</t>
        </is>
      </c>
      <c r="B7" s="79" t="inlineStr">
        <is>
          <t>3839735885</t>
        </is>
      </c>
      <c r="C7" s="75" t="inlineStr">
        <is>
          <t>아넬라 과일퓨레 10팩 시작과일A+HOP2팩 아기이유식 퓨레</t>
        </is>
      </c>
      <c r="D7" s="76" t="n">
        <v>107</v>
      </c>
      <c r="E7" s="76" t="n">
        <v>4470790</v>
      </c>
      <c r="F7" s="76" t="n">
        <v>4201890</v>
      </c>
      <c r="G7" s="76" t="n">
        <v>268900</v>
      </c>
      <c r="H7" s="75">
        <f>IF(ISNUMBER(SEARCH("공동구매",C7)),"공구","일반")</f>
        <v/>
      </c>
    </row>
    <row r="8">
      <c r="A8" s="75" t="inlineStr">
        <is>
          <t>아넬라</t>
        </is>
      </c>
      <c r="B8" s="79" t="inlineStr">
        <is>
          <t>9526176049</t>
        </is>
      </c>
      <c r="C8" s="75" t="inlineStr">
        <is>
          <t>아넬라 아기과자 유기농 쌀과자 퍼프&amp;롱떡뻥 4봉+4봉</t>
        </is>
      </c>
      <c r="D8" s="76" t="n">
        <v>214</v>
      </c>
      <c r="E8" s="76" t="n">
        <v>4309590</v>
      </c>
      <c r="F8" s="76" t="n">
        <v>4134890</v>
      </c>
      <c r="G8" s="76" t="n">
        <v>174700</v>
      </c>
      <c r="H8" s="75">
        <f>IF(ISNUMBER(SEARCH("공동구매",C8)),"공구","일반")</f>
        <v/>
      </c>
    </row>
    <row r="9">
      <c r="A9" s="75" t="inlineStr">
        <is>
          <t>아넬라</t>
        </is>
      </c>
      <c r="B9" s="79" t="inlineStr">
        <is>
          <t>397517703</t>
        </is>
      </c>
      <c r="C9" s="75" t="inlineStr">
        <is>
          <t>아넬라 과일퓨레 15팩 시작과일 A+HOP3팩  아기이유식 퓨레</t>
        </is>
      </c>
      <c r="D9" s="76" t="n">
        <v>46</v>
      </c>
      <c r="E9" s="76" t="n">
        <v>3012960</v>
      </c>
      <c r="F9" s="76" t="n">
        <v>2947460</v>
      </c>
      <c r="G9" s="76" t="n">
        <v>65500</v>
      </c>
      <c r="H9" s="75">
        <f>IF(ISNUMBER(SEARCH("공동구매",C9)),"공구","일반")</f>
        <v/>
      </c>
    </row>
    <row r="10">
      <c r="A10" s="75" t="inlineStr">
        <is>
          <t>아넬라</t>
        </is>
      </c>
      <c r="B10" s="79" t="inlineStr">
        <is>
          <t>4940248654</t>
        </is>
      </c>
      <c r="C10" s="75" t="inlineStr">
        <is>
          <t>아넬라 과일퓨레 6팩 골라 담기 사과 이유식 아기퓨레 아이간식</t>
        </is>
      </c>
      <c r="D10" s="76" t="n">
        <v>383</v>
      </c>
      <c r="E10" s="76" t="n">
        <v>2681370</v>
      </c>
      <c r="F10" s="76" t="n">
        <v>2520170</v>
      </c>
      <c r="G10" s="76" t="n">
        <v>161200</v>
      </c>
      <c r="H10" s="75">
        <f>IF(ISNUMBER(SEARCH("공동구매",C10)),"공구","일반")</f>
        <v/>
      </c>
    </row>
    <row r="11">
      <c r="A11" s="75" t="inlineStr">
        <is>
          <t>아넬라</t>
        </is>
      </c>
      <c r="B11" s="79" t="inlineStr">
        <is>
          <t>5028323731</t>
        </is>
      </c>
      <c r="C11" s="75" t="inlineStr">
        <is>
          <t>아넬라 과일퓨레 12팩 골라 담기 사과 이유식 아기퓨레 아이간식</t>
        </is>
      </c>
      <c r="D11" s="76" t="n">
        <v>223</v>
      </c>
      <c r="E11" s="76" t="n">
        <v>2244600</v>
      </c>
      <c r="F11" s="76" t="n">
        <v>2112600</v>
      </c>
      <c r="G11" s="76" t="n">
        <v>132000</v>
      </c>
      <c r="H11" s="75">
        <f>IF(ISNUMBER(SEARCH("공동구매",C11)),"공구","일반")</f>
        <v/>
      </c>
    </row>
    <row r="12">
      <c r="A12" s="75" t="inlineStr">
        <is>
          <t>아넬라</t>
        </is>
      </c>
      <c r="B12" s="79" t="inlineStr">
        <is>
          <t>4719900633</t>
        </is>
      </c>
      <c r="C12" s="75" t="inlineStr">
        <is>
          <t>아넬라 짜먹는 아기 과일퓨레 HOP 8팩 시작과일 A+2팩</t>
        </is>
      </c>
      <c r="D12" s="76" t="n">
        <v>72</v>
      </c>
      <c r="E12" s="76" t="n">
        <v>2184100</v>
      </c>
      <c r="F12" s="76" t="n">
        <v>2115300</v>
      </c>
      <c r="G12" s="76" t="n">
        <v>68800</v>
      </c>
      <c r="H12" s="75">
        <f>IF(ISNUMBER(SEARCH("공동구매",C12)),"공구","일반")</f>
        <v/>
      </c>
    </row>
    <row r="13">
      <c r="A13" s="75" t="inlineStr">
        <is>
          <t>아넬라</t>
        </is>
      </c>
      <c r="B13" s="79" t="inlineStr">
        <is>
          <t>9530726438</t>
        </is>
      </c>
      <c r="C13" s="75" t="inlineStr">
        <is>
          <t>아넬라 아기과자 유기농 쌀과자 골라 담기 롱떡뻥 사과 외 6종</t>
        </is>
      </c>
      <c r="D13" s="76" t="n">
        <v>351</v>
      </c>
      <c r="E13" s="76" t="n">
        <v>2064290</v>
      </c>
      <c r="F13" s="76" t="n">
        <v>1883690</v>
      </c>
      <c r="G13" s="76" t="n">
        <v>180600</v>
      </c>
      <c r="H13" s="75">
        <f>IF(ISNUMBER(SEARCH("공동구매",C13)),"공구","일반")</f>
        <v/>
      </c>
    </row>
    <row r="14">
      <c r="A14" s="75" t="inlineStr">
        <is>
          <t>아넬라</t>
        </is>
      </c>
      <c r="B14" s="79" t="inlineStr">
        <is>
          <t>2547816653</t>
        </is>
      </c>
      <c r="C14" s="75" t="inlineStr">
        <is>
          <t>아넬라 과일퓨레 떠짜세트 6팩+6팩 시작과일A 아기이유식 퓨레</t>
        </is>
      </c>
      <c r="D14" s="76" t="n">
        <v>29</v>
      </c>
      <c r="E14" s="76" t="n">
        <v>1203500</v>
      </c>
      <c r="F14" s="76" t="n">
        <v>1100700</v>
      </c>
      <c r="G14" s="76" t="n">
        <v>102800</v>
      </c>
      <c r="H14" s="75">
        <f>IF(ISNUMBER(SEARCH("공동구매",C14)),"공구","일반")</f>
        <v/>
      </c>
    </row>
    <row r="15">
      <c r="A15" s="75" t="inlineStr">
        <is>
          <t>아넬라</t>
        </is>
      </c>
      <c r="B15" s="79" t="inlineStr">
        <is>
          <t>5614562542</t>
        </is>
      </c>
      <c r="C15" s="75" t="inlineStr">
        <is>
          <t>아넬라 과일퓨레 생푸룬 20일플랜 20개입 임산부 프룬</t>
        </is>
      </c>
      <c r="D15" s="76" t="n">
        <v>20</v>
      </c>
      <c r="E15" s="76" t="n">
        <v>999600</v>
      </c>
      <c r="F15" s="76" t="n">
        <v>999600</v>
      </c>
      <c r="G15" s="76" t="n">
        <v>0</v>
      </c>
      <c r="H15" s="75">
        <f>IF(ISNUMBER(SEARCH("공동구매",C15)),"공구","일반")</f>
        <v/>
      </c>
    </row>
    <row r="16">
      <c r="A16" s="75" t="inlineStr">
        <is>
          <t>아넬라</t>
        </is>
      </c>
      <c r="B16" s="79" t="inlineStr">
        <is>
          <t>4820696894</t>
        </is>
      </c>
      <c r="C16" s="75" t="inlineStr">
        <is>
          <t>아넬라 생푸룬 과일퓨레 10일플랜 10개입 임산부 프룬</t>
        </is>
      </c>
      <c r="D16" s="76" t="n">
        <v>38</v>
      </c>
      <c r="E16" s="76" t="n">
        <v>998500</v>
      </c>
      <c r="F16" s="76" t="n">
        <v>947600</v>
      </c>
      <c r="G16" s="76" t="n">
        <v>50900</v>
      </c>
      <c r="H16" s="75">
        <f>IF(ISNUMBER(SEARCH("공동구매",C16)),"공구","일반")</f>
        <v/>
      </c>
    </row>
    <row r="17">
      <c r="A17" s="75" t="inlineStr">
        <is>
          <t>아넬라</t>
        </is>
      </c>
      <c r="B17" s="79" t="inlineStr">
        <is>
          <t>4719903930</t>
        </is>
      </c>
      <c r="C17" s="75" t="inlineStr">
        <is>
          <t>아넬라 짜먹는 아기 과일퓨레 HOP 16팩 시작과일A +3팩</t>
        </is>
      </c>
      <c r="D17" s="76" t="n">
        <v>18</v>
      </c>
      <c r="E17" s="76" t="n">
        <v>998000</v>
      </c>
      <c r="F17" s="76" t="n">
        <v>939100</v>
      </c>
      <c r="G17" s="76" t="n">
        <v>58900</v>
      </c>
      <c r="H17" s="75">
        <f>IF(ISNUMBER(SEARCH("공동구매",C17)),"공구","일반")</f>
        <v/>
      </c>
    </row>
    <row r="18">
      <c r="A18" s="75" t="inlineStr">
        <is>
          <t>아넬라</t>
        </is>
      </c>
      <c r="B18" s="79" t="inlineStr">
        <is>
          <t>2668480139</t>
        </is>
      </c>
      <c r="C18" s="75" t="inlineStr">
        <is>
          <t>로지오가닉 아기 배도라지즙 진한 목소리도맑음 30팩</t>
        </is>
      </c>
      <c r="D18" s="76" t="n">
        <v>18</v>
      </c>
      <c r="E18" s="76" t="n">
        <v>705700</v>
      </c>
      <c r="F18" s="76" t="n">
        <v>652200</v>
      </c>
      <c r="G18" s="76" t="n">
        <v>53500</v>
      </c>
      <c r="H18" s="75">
        <f>IF(ISNUMBER(SEARCH("공동구매",C18)),"공구","일반")</f>
        <v/>
      </c>
    </row>
    <row r="19">
      <c r="A19" s="75" t="inlineStr">
        <is>
          <t>아넬라</t>
        </is>
      </c>
      <c r="B19" s="79" t="inlineStr">
        <is>
          <t>9622747073</t>
        </is>
      </c>
      <c r="C19" s="75" t="inlineStr">
        <is>
          <t>아넬라 과일퓨레 첫 만남 혜택 구성</t>
        </is>
      </c>
      <c r="D19" s="76" t="n">
        <v>62</v>
      </c>
      <c r="E19" s="76" t="n">
        <v>697500</v>
      </c>
      <c r="F19" s="76" t="n">
        <v>656900</v>
      </c>
      <c r="G19" s="76" t="n">
        <v>40600</v>
      </c>
      <c r="H19" s="75">
        <f>IF(ISNUMBER(SEARCH("공동구매",C19)),"공구","일반")</f>
        <v/>
      </c>
    </row>
    <row r="20">
      <c r="A20" s="75" t="inlineStr">
        <is>
          <t>아넬라</t>
        </is>
      </c>
      <c r="B20" s="79" t="inlineStr">
        <is>
          <t>13688209998</t>
        </is>
      </c>
      <c r="C20" s="75" t="inlineStr">
        <is>
          <t>로지오가닉 처음 마시는 진한 배도라지즙 10팩 어린이 음료</t>
        </is>
      </c>
      <c r="D20" s="76" t="n">
        <v>30</v>
      </c>
      <c r="E20" s="76" t="n">
        <v>452700</v>
      </c>
      <c r="F20" s="76" t="n">
        <v>426900</v>
      </c>
      <c r="G20" s="76" t="n">
        <v>25800</v>
      </c>
      <c r="H20" s="75">
        <f>IF(ISNUMBER(SEARCH("공동구매",C20)),"공구","일반")</f>
        <v/>
      </c>
    </row>
    <row r="21">
      <c r="A21" s="75" t="inlineStr">
        <is>
          <t>아넬라</t>
        </is>
      </c>
      <c r="B21" s="79" t="inlineStr">
        <is>
          <t>5760438067</t>
        </is>
      </c>
      <c r="C21" s="75" t="inlineStr">
        <is>
          <t>짜먹는 아넬라 HOP 생푸룬 과일퓨레 7팩+1팩</t>
        </is>
      </c>
      <c r="D21" s="76" t="n">
        <v>14</v>
      </c>
      <c r="E21" s="76" t="n">
        <v>416000</v>
      </c>
      <c r="F21" s="76" t="n">
        <v>416000</v>
      </c>
      <c r="G21" s="76" t="n">
        <v>0</v>
      </c>
      <c r="H21" s="75">
        <f>IF(ISNUMBER(SEARCH("공동구매",C21)),"공구","일반")</f>
        <v/>
      </c>
    </row>
    <row r="22">
      <c r="A22" s="75" t="inlineStr">
        <is>
          <t>아넬라</t>
        </is>
      </c>
      <c r="B22" s="79" t="inlineStr">
        <is>
          <t>397524959</t>
        </is>
      </c>
      <c r="C22" s="75" t="inlineStr">
        <is>
          <t>떠먹는 아넬라 1팩 사과 과일퓨레 아기과일 외 7종</t>
        </is>
      </c>
      <c r="D22" s="76" t="n">
        <v>38</v>
      </c>
      <c r="E22" s="76" t="n">
        <v>415660</v>
      </c>
      <c r="F22" s="76" t="n">
        <v>415660</v>
      </c>
      <c r="G22" s="76" t="n">
        <v>0</v>
      </c>
      <c r="H22" s="75">
        <f>IF(ISNUMBER(SEARCH("공동구매",C22)),"공구","일반")</f>
        <v/>
      </c>
    </row>
    <row r="23">
      <c r="A23" s="75" t="inlineStr">
        <is>
          <t>아넬라</t>
        </is>
      </c>
      <c r="B23" s="79" t="inlineStr">
        <is>
          <t>397524952</t>
        </is>
      </c>
      <c r="C23" s="75" t="inlineStr">
        <is>
          <t>아넬라 과일퓨레 5팩 시작과일A (100gx10개입) 아기이유식 퓨레</t>
        </is>
      </c>
      <c r="D23" s="76" t="n">
        <v>17</v>
      </c>
      <c r="E23" s="76" t="n">
        <v>378500</v>
      </c>
      <c r="F23" s="76" t="n">
        <v>378500</v>
      </c>
      <c r="G23" s="76" t="n">
        <v>0</v>
      </c>
      <c r="H23" s="75">
        <f>IF(ISNUMBER(SEARCH("공동구매",C23)),"공구","일반")</f>
        <v/>
      </c>
    </row>
    <row r="24">
      <c r="A24" s="75" t="inlineStr">
        <is>
          <t>아넬라</t>
        </is>
      </c>
      <c r="B24" s="79" t="inlineStr">
        <is>
          <t>5760449772</t>
        </is>
      </c>
      <c r="C24" s="75" t="inlineStr">
        <is>
          <t>짜먹는 아넬라 HOP 생푸룬 과일퓨레 14팩+HOP사과배3팩</t>
        </is>
      </c>
      <c r="D24" s="76" t="n">
        <v>7</v>
      </c>
      <c r="E24" s="76" t="n">
        <v>371500</v>
      </c>
      <c r="F24" s="76" t="n">
        <v>371500</v>
      </c>
      <c r="G24" s="76" t="n">
        <v>0</v>
      </c>
      <c r="H24" s="75">
        <f>IF(ISNUMBER(SEARCH("공동구매",C24)),"공구","일반")</f>
        <v/>
      </c>
    </row>
    <row r="25">
      <c r="A25" s="75" t="inlineStr">
        <is>
          <t>아넬라</t>
        </is>
      </c>
      <c r="B25" s="79" t="inlineStr">
        <is>
          <t>5594144766</t>
        </is>
      </c>
      <c r="C25" s="75" t="inlineStr">
        <is>
          <t>아넬라 과일퓨레 15팩 시작과일 A(100gx30개입)  아기이유식 퓨레</t>
        </is>
      </c>
      <c r="D25" s="76" t="n">
        <v>4</v>
      </c>
      <c r="E25" s="76" t="n">
        <v>316500</v>
      </c>
      <c r="F25" s="76" t="n">
        <v>316500</v>
      </c>
      <c r="G25" s="76" t="n">
        <v>0</v>
      </c>
      <c r="H25" s="75">
        <f>IF(ISNUMBER(SEARCH("공동구매",C25)),"공구","일반")</f>
        <v/>
      </c>
    </row>
    <row r="26">
      <c r="A26" s="75" t="inlineStr">
        <is>
          <t>아넬라</t>
        </is>
      </c>
      <c r="B26" s="79" t="inlineStr">
        <is>
          <t>474511716</t>
        </is>
      </c>
      <c r="C26" s="75" t="inlineStr">
        <is>
          <t>아넬라 과일퓨레 5팩 선물세트 시작과일 A</t>
        </is>
      </c>
      <c r="D26" s="76" t="n">
        <v>13</v>
      </c>
      <c r="E26" s="76" t="n">
        <v>283710</v>
      </c>
      <c r="F26" s="76" t="n">
        <v>267210</v>
      </c>
      <c r="G26" s="76" t="n">
        <v>16500</v>
      </c>
      <c r="H26" s="75">
        <f>IF(ISNUMBER(SEARCH("공동구매",C26)),"공구","일반")</f>
        <v/>
      </c>
    </row>
    <row r="27">
      <c r="A27" s="75" t="inlineStr">
        <is>
          <t>아넬라</t>
        </is>
      </c>
      <c r="B27" s="79" t="inlineStr">
        <is>
          <t>9742409615</t>
        </is>
      </c>
      <c r="C27" s="75" t="inlineStr">
        <is>
          <t>아넬라 유기농 쌀과자 첫 만남 혜택 구성</t>
        </is>
      </c>
      <c r="D27" s="76" t="n">
        <v>26</v>
      </c>
      <c r="E27" s="76" t="n">
        <v>282120</v>
      </c>
      <c r="F27" s="76" t="n">
        <v>282120</v>
      </c>
      <c r="G27" s="76" t="n">
        <v>0</v>
      </c>
      <c r="H27" s="75">
        <f>IF(ISNUMBER(SEARCH("공동구매",C27)),"공구","일반")</f>
        <v/>
      </c>
    </row>
    <row r="28">
      <c r="A28" s="75" t="inlineStr">
        <is>
          <t>아넬라</t>
        </is>
      </c>
      <c r="B28" s="79" t="inlineStr">
        <is>
          <t>397517726</t>
        </is>
      </c>
      <c r="C28" s="75" t="inlineStr">
        <is>
          <t>아넬라 과일퓨레 떠먹는 시작과일A 3팩+3팩 (100gx12개입)  아기이유식 퓨레</t>
        </is>
      </c>
      <c r="D28" s="76" t="n">
        <v>9</v>
      </c>
      <c r="E28" s="76" t="n">
        <v>258500</v>
      </c>
      <c r="F28" s="76" t="n">
        <v>258500</v>
      </c>
      <c r="G28" s="76" t="n">
        <v>0</v>
      </c>
      <c r="H28" s="75">
        <f>IF(ISNUMBER(SEARCH("공동구매",C28)),"공구","일반")</f>
        <v/>
      </c>
    </row>
    <row r="29">
      <c r="A29" s="75" t="inlineStr">
        <is>
          <t>아넬라</t>
        </is>
      </c>
      <c r="B29" s="79" t="inlineStr">
        <is>
          <t>7318305171</t>
        </is>
      </c>
      <c r="C29" s="75" t="inlineStr">
        <is>
          <t>로지오가닉 아기 배도라지즙 진한 목소리도맑음 주스 90팩</t>
        </is>
      </c>
      <c r="D29" s="76" t="n">
        <v>2</v>
      </c>
      <c r="E29" s="76" t="n">
        <v>161800</v>
      </c>
      <c r="F29" s="76" t="n">
        <v>161800</v>
      </c>
      <c r="G29" s="76" t="n">
        <v>0</v>
      </c>
      <c r="H29" s="75">
        <f>IF(ISNUMBER(SEARCH("공동구매",C29)),"공구","일반")</f>
        <v/>
      </c>
    </row>
    <row r="30">
      <c r="A30" s="75" t="inlineStr">
        <is>
          <t>아넬라</t>
        </is>
      </c>
      <c r="B30" s="79" t="inlineStr">
        <is>
          <t>13688203669</t>
        </is>
      </c>
      <c r="C30" s="75" t="inlineStr">
        <is>
          <t>로지오가닉 처음 마시는 순한 유기농 아기 보리차 10팩 어린이 음료</t>
        </is>
      </c>
      <c r="D30" s="76" t="n">
        <v>13</v>
      </c>
      <c r="E30" s="76" t="n">
        <v>120600</v>
      </c>
      <c r="F30" s="76" t="n">
        <v>104800</v>
      </c>
      <c r="G30" s="76" t="n">
        <v>15800</v>
      </c>
      <c r="H30" s="75">
        <f>IF(ISNUMBER(SEARCH("공동구매",C30)),"공구","일반")</f>
        <v/>
      </c>
    </row>
    <row r="31">
      <c r="A31" s="75" t="inlineStr">
        <is>
          <t>아넬라</t>
        </is>
      </c>
      <c r="B31" s="79" t="inlineStr">
        <is>
          <t>422318064</t>
        </is>
      </c>
      <c r="C31" s="75" t="inlineStr">
        <is>
          <t>아넬라 4팩 시작과일A 과일퓨레</t>
        </is>
      </c>
      <c r="D31" s="76" t="n">
        <v>5</v>
      </c>
      <c r="E31" s="76" t="n">
        <v>97500</v>
      </c>
      <c r="F31" s="76" t="n">
        <v>97500</v>
      </c>
      <c r="G31" s="76" t="n">
        <v>0</v>
      </c>
      <c r="H31" s="75">
        <f>IF(ISNUMBER(SEARCH("공동구매",C31)),"공구","일반")</f>
        <v/>
      </c>
    </row>
    <row r="32">
      <c r="A32" s="75" t="inlineStr">
        <is>
          <t>아넬라</t>
        </is>
      </c>
      <c r="B32" s="79" t="inlineStr">
        <is>
          <t>4947519654</t>
        </is>
      </c>
      <c r="C32" s="75" t="inlineStr">
        <is>
          <t>아넬라 과일퓨레 떠짜세트 12팩+12팩 시작과일A 아기이유식 퓨레</t>
        </is>
      </c>
      <c r="D32" s="76" t="n">
        <v>1</v>
      </c>
      <c r="E32" s="76" t="n">
        <v>91900</v>
      </c>
      <c r="F32" s="76" t="n">
        <v>91900</v>
      </c>
      <c r="G32" s="76" t="n">
        <v>0</v>
      </c>
      <c r="H32" s="75">
        <f>IF(ISNUMBER(SEARCH("공동구매",C32)),"공구","일반")</f>
        <v/>
      </c>
    </row>
    <row r="33">
      <c r="A33" s="75" t="inlineStr">
        <is>
          <t>아넬라</t>
        </is>
      </c>
      <c r="B33" s="79" t="inlineStr">
        <is>
          <t>6736912392</t>
        </is>
      </c>
      <c r="C33" s="75" t="inlineStr">
        <is>
          <t>로지오가닉 배도라지 목소리도맑음 아기 젤리 3박스(30포)</t>
        </is>
      </c>
      <c r="D33" s="76" t="n">
        <v>2</v>
      </c>
      <c r="E33" s="76" t="n">
        <v>85800</v>
      </c>
      <c r="F33" s="76" t="n">
        <v>85800</v>
      </c>
      <c r="G33" s="76" t="n">
        <v>0</v>
      </c>
      <c r="H33" s="75">
        <f>IF(ISNUMBER(SEARCH("공동구매",C33)),"공구","일반")</f>
        <v/>
      </c>
    </row>
    <row r="34">
      <c r="A34" s="75" t="inlineStr">
        <is>
          <t>아넬라</t>
        </is>
      </c>
      <c r="B34" s="79" t="inlineStr">
        <is>
          <t>9580398988</t>
        </is>
      </c>
      <c r="C34" s="75" t="inlineStr">
        <is>
          <t>아넬라 아기과자 유기농 쌀과자 ABC 퍼프 1봉</t>
        </is>
      </c>
      <c r="D34" s="76" t="n">
        <v>9</v>
      </c>
      <c r="E34" s="76" t="n">
        <v>84800</v>
      </c>
      <c r="F34" s="76" t="n">
        <v>51800</v>
      </c>
      <c r="G34" s="76" t="n">
        <v>33000</v>
      </c>
      <c r="H34" s="75">
        <f>IF(ISNUMBER(SEARCH("공동구매",C34)),"공구","일반")</f>
        <v/>
      </c>
    </row>
    <row r="35">
      <c r="A35" s="75" t="inlineStr">
        <is>
          <t>아넬라</t>
        </is>
      </c>
      <c r="B35" s="79" t="inlineStr">
        <is>
          <t>9908868423</t>
        </is>
      </c>
      <c r="C35" s="75" t="inlineStr">
        <is>
          <t>아넬라 맛남패키지 과일퓨레 컵 4팩 + 롱떡뻥 4봉 A</t>
        </is>
      </c>
      <c r="D35" s="76" t="n">
        <v>3</v>
      </c>
      <c r="E35" s="76" t="n">
        <v>73010</v>
      </c>
      <c r="F35" s="76" t="n">
        <v>73010</v>
      </c>
      <c r="G35" s="76" t="n">
        <v>0</v>
      </c>
      <c r="H35" s="75">
        <f>IF(ISNUMBER(SEARCH("공동구매",C35)),"공구","일반")</f>
        <v/>
      </c>
    </row>
    <row r="36">
      <c r="A36" s="75" t="inlineStr">
        <is>
          <t>아넬라</t>
        </is>
      </c>
      <c r="B36" s="79" t="inlineStr">
        <is>
          <t>6999643503</t>
        </is>
      </c>
      <c r="C36" s="75" t="inlineStr">
        <is>
          <t>로지오가닉 배도라지 100억유산균젤리 세븐베리 젤리 1박스(10포)목소리도맑음 방구소리방긋 안경도둑똘망</t>
        </is>
      </c>
      <c r="D36" s="76" t="n">
        <v>6</v>
      </c>
      <c r="E36" s="76" t="n">
        <v>69520</v>
      </c>
      <c r="F36" s="76" t="n">
        <v>69520</v>
      </c>
      <c r="G36" s="76" t="n">
        <v>0</v>
      </c>
      <c r="H36" s="75">
        <f>IF(ISNUMBER(SEARCH("공동구매",C36)),"공구","일반")</f>
        <v/>
      </c>
    </row>
    <row r="37">
      <c r="A37" s="75" t="inlineStr">
        <is>
          <t>아넬라</t>
        </is>
      </c>
      <c r="B37" s="79" t="inlineStr">
        <is>
          <t>385804040</t>
        </is>
      </c>
      <c r="C37" s="75" t="inlineStr">
        <is>
          <t>아넬라 과일퓨레 1팩(100gX2개) 11종 택1 아기과일</t>
        </is>
      </c>
      <c r="D37" s="76" t="n">
        <v>11</v>
      </c>
      <c r="E37" s="76" t="n">
        <v>59400</v>
      </c>
      <c r="F37" s="76" t="n">
        <v>54000</v>
      </c>
      <c r="G37" s="76" t="n">
        <v>5400</v>
      </c>
      <c r="H37" s="75">
        <f>IF(ISNUMBER(SEARCH("공동구매",C37)),"공구","일반")</f>
        <v/>
      </c>
    </row>
    <row r="38">
      <c r="A38" s="75" t="inlineStr">
        <is>
          <t>아넬라</t>
        </is>
      </c>
      <c r="B38" s="79" t="inlineStr">
        <is>
          <t>9911976447</t>
        </is>
      </c>
      <c r="C38" s="75" t="inlineStr">
        <is>
          <t>맛남패키지 과일퓨레 짜먹는 아넬라 HOP 5팩 + 퍼프 2봉 A</t>
        </is>
      </c>
      <c r="D38" s="76" t="n">
        <v>3</v>
      </c>
      <c r="E38" s="76" t="n">
        <v>54700</v>
      </c>
      <c r="F38" s="76" t="n">
        <v>54700</v>
      </c>
      <c r="G38" s="76" t="n">
        <v>0</v>
      </c>
      <c r="H38" s="75">
        <f>IF(ISNUMBER(SEARCH("공동구매",C38)),"공구","일반")</f>
        <v/>
      </c>
    </row>
    <row r="39">
      <c r="A39" s="75" t="inlineStr">
        <is>
          <t>아넬라</t>
        </is>
      </c>
      <c r="B39" s="79" t="inlineStr">
        <is>
          <t>11892988944</t>
        </is>
      </c>
      <c r="C39" s="75" t="inlineStr">
        <is>
          <t>아넬라 유기농 레몬즙  3박스+3박스 (총 84포) 유기농 레몬주스 100%</t>
        </is>
      </c>
      <c r="D39" s="76" t="n">
        <v>1</v>
      </c>
      <c r="E39" s="76" t="n">
        <v>52900</v>
      </c>
      <c r="F39" s="76" t="n">
        <v>52900</v>
      </c>
      <c r="G39" s="76" t="n">
        <v>0</v>
      </c>
      <c r="H39" s="75">
        <f>IF(ISNUMBER(SEARCH("공동구매",C39)),"공구","일반")</f>
        <v/>
      </c>
    </row>
    <row r="40">
      <c r="A40" s="75" t="inlineStr">
        <is>
          <t>아넬라</t>
        </is>
      </c>
      <c r="B40" s="79" t="inlineStr">
        <is>
          <t>4947515963</t>
        </is>
      </c>
      <c r="C40" s="75" t="inlineStr">
        <is>
          <t>아넬라 과일퓨레 떠짜세트 4팩+4팩 시작과일A 아기이유식 퓨레</t>
        </is>
      </c>
      <c r="D40" s="76" t="n">
        <v>2</v>
      </c>
      <c r="E40" s="76" t="n">
        <v>43500</v>
      </c>
      <c r="F40" s="76" t="n">
        <v>43500</v>
      </c>
      <c r="G40" s="76" t="n">
        <v>0</v>
      </c>
      <c r="H40" s="75">
        <f>IF(ISNUMBER(SEARCH("공동구매",C40)),"공구","일반")</f>
        <v/>
      </c>
    </row>
    <row r="41">
      <c r="A41" s="75" t="inlineStr">
        <is>
          <t>아넬라</t>
        </is>
      </c>
      <c r="B41" s="79" t="inlineStr">
        <is>
          <t>4573223456</t>
        </is>
      </c>
      <c r="C41" s="75" t="inlineStr">
        <is>
          <t>로지오가닉 아기젤리 맑음 방긋 똘망 혼합세트 40포</t>
        </is>
      </c>
      <c r="D41" s="76" t="n">
        <v>1</v>
      </c>
      <c r="E41" s="76" t="n">
        <v>30900</v>
      </c>
      <c r="F41" s="76" t="n">
        <v>30900</v>
      </c>
      <c r="G41" s="76" t="n">
        <v>0</v>
      </c>
      <c r="H41" s="75">
        <f>IF(ISNUMBER(SEARCH("공동구매",C41)),"공구","일반")</f>
        <v/>
      </c>
    </row>
    <row r="42">
      <c r="A42" s="75" t="inlineStr">
        <is>
          <t>아넬라</t>
        </is>
      </c>
      <c r="B42" s="79" t="inlineStr">
        <is>
          <t>9580394743</t>
        </is>
      </c>
      <c r="C42" s="75" t="inlineStr">
        <is>
          <t>아넬라 아기과자 유기농 쌀과자 푸룬 퍼프 1봉</t>
        </is>
      </c>
      <c r="D42" s="76" t="n">
        <v>4</v>
      </c>
      <c r="E42" s="76" t="n">
        <v>30690</v>
      </c>
      <c r="F42" s="76" t="n">
        <v>30690</v>
      </c>
      <c r="G42" s="76" t="n">
        <v>0</v>
      </c>
      <c r="H42" s="75">
        <f>IF(ISNUMBER(SEARCH("공동구매",C42)),"공구","일반")</f>
        <v/>
      </c>
    </row>
    <row r="43">
      <c r="A43" s="75" t="inlineStr">
        <is>
          <t>아넬라</t>
        </is>
      </c>
      <c r="B43" s="79" t="inlineStr">
        <is>
          <t>9911957201</t>
        </is>
      </c>
      <c r="C43" s="75" t="inlineStr">
        <is>
          <t>맛남패키지 과일퓨레 짜먹는아넬라 HOP 5팩 + 롱떡뻥 4봉 A</t>
        </is>
      </c>
      <c r="D43" s="76" t="n">
        <v>1</v>
      </c>
      <c r="E43" s="76" t="n">
        <v>27900</v>
      </c>
      <c r="F43" s="76" t="n">
        <v>27900</v>
      </c>
      <c r="G43" s="76" t="n">
        <v>0</v>
      </c>
      <c r="H43" s="75">
        <f>IF(ISNUMBER(SEARCH("공동구매",C43)),"공구","일반")</f>
        <v/>
      </c>
    </row>
    <row r="44">
      <c r="A44" s="75" t="inlineStr">
        <is>
          <t>아넬라</t>
        </is>
      </c>
      <c r="B44" s="79" t="inlineStr">
        <is>
          <t>4847549927</t>
        </is>
      </c>
      <c r="C44" s="75" t="inlineStr">
        <is>
          <t>로지오가닉 100억 특허유산균 젤리 3박스(30포) 방구소리방긋 아기 젤리 스틱</t>
        </is>
      </c>
      <c r="D44" s="76" t="n">
        <v>1</v>
      </c>
      <c r="E44" s="76" t="n">
        <v>26900</v>
      </c>
      <c r="F44" s="76" t="n">
        <v>26900</v>
      </c>
      <c r="G44" s="76" t="n">
        <v>0</v>
      </c>
      <c r="H44" s="75">
        <f>IF(ISNUMBER(SEARCH("공동구매",C44)),"공구","일반")</f>
        <v/>
      </c>
    </row>
    <row r="45">
      <c r="A45" s="75" t="inlineStr">
        <is>
          <t>아넬라</t>
        </is>
      </c>
      <c r="B45" s="79" t="inlineStr">
        <is>
          <t>9911984857</t>
        </is>
      </c>
      <c r="C45" s="75" t="inlineStr">
        <is>
          <t>맛남패키지 과일퓨레 퍼프 5봉 + 짜먹는 아넬라 hop 3팩 A</t>
        </is>
      </c>
      <c r="D45" s="76" t="n">
        <v>1</v>
      </c>
      <c r="E45" s="76" t="n">
        <v>22900</v>
      </c>
      <c r="F45" s="76" t="n">
        <v>22900</v>
      </c>
      <c r="G45" s="76" t="n">
        <v>0</v>
      </c>
      <c r="H45" s="75">
        <f>IF(ISNUMBER(SEARCH("공동구매",C45)),"공구","일반")</f>
        <v/>
      </c>
    </row>
    <row r="46">
      <c r="A46" s="75" t="inlineStr">
        <is>
          <t>아넬라</t>
        </is>
      </c>
      <c r="B46" s="79" t="inlineStr">
        <is>
          <t>9908894381</t>
        </is>
      </c>
      <c r="C46" s="75" t="inlineStr">
        <is>
          <t>아넬라 맛남패키지 쌀과자 롱떡뻥 4봉 + 컵 2팩 A 과일퓨레</t>
        </is>
      </c>
      <c r="D46" s="76" t="n">
        <v>1</v>
      </c>
      <c r="E46" s="76" t="n">
        <v>22000</v>
      </c>
      <c r="F46" s="76" t="n">
        <v>22000</v>
      </c>
      <c r="G46" s="76" t="n">
        <v>0</v>
      </c>
      <c r="H46" s="75">
        <f>IF(ISNUMBER(SEARCH("공동구매",C46)),"공구","일반")</f>
        <v/>
      </c>
    </row>
    <row r="47">
      <c r="A47" s="75" t="inlineStr">
        <is>
          <t>아넬라</t>
        </is>
      </c>
      <c r="B47" s="79" t="inlineStr">
        <is>
          <t>6906249912</t>
        </is>
      </c>
      <c r="C47" s="75" t="inlineStr">
        <is>
          <t>(비노출) 로지오가닉 배도라지즙 진한 목소리도맑음 아기 주스 30팩</t>
        </is>
      </c>
      <c r="D47" s="76" t="n">
        <v>1</v>
      </c>
      <c r="E47" s="76" t="n">
        <v>17500</v>
      </c>
      <c r="F47" s="76" t="n">
        <v>17500</v>
      </c>
      <c r="G47" s="76" t="n">
        <v>0</v>
      </c>
      <c r="H47" s="75">
        <f>IF(ISNUMBER(SEARCH("공동구매",C47)),"공구","일반")</f>
        <v/>
      </c>
    </row>
    <row r="48">
      <c r="A48" s="75" t="inlineStr">
        <is>
          <t>아넬라</t>
        </is>
      </c>
      <c r="B48" s="79" t="inlineStr">
        <is>
          <t>9579657213</t>
        </is>
      </c>
      <c r="C48" s="75" t="inlineStr">
        <is>
          <t>아넬라 아기과자 유기농 롱떡뻥 브로콜리 1봉</t>
        </is>
      </c>
      <c r="D48" s="76" t="n">
        <v>4</v>
      </c>
      <c r="E48" s="76" t="n">
        <v>13200</v>
      </c>
      <c r="F48" s="76" t="n">
        <v>13200</v>
      </c>
      <c r="G48" s="76" t="n">
        <v>0</v>
      </c>
      <c r="H48" s="75">
        <f>IF(ISNUMBER(SEARCH("공동구매",C48)),"공구","일반")</f>
        <v/>
      </c>
    </row>
    <row r="49">
      <c r="A49" s="75" t="inlineStr">
        <is>
          <t>아넬라</t>
        </is>
      </c>
      <c r="B49" s="79" t="inlineStr">
        <is>
          <t>2952080229</t>
        </is>
      </c>
      <c r="C49" s="75" t="inlineStr">
        <is>
          <t>로지오가닉 아넬라 이유식스푼 다섯가지 안전스푼</t>
        </is>
      </c>
      <c r="D49" s="76" t="n">
        <v>1</v>
      </c>
      <c r="E49" s="76" t="n">
        <v>9600</v>
      </c>
      <c r="F49" s="76" t="n">
        <v>9600</v>
      </c>
      <c r="G49" s="76" t="n">
        <v>0</v>
      </c>
      <c r="H49" s="75">
        <f>IF(ISNUMBER(SEARCH("공동구매",C49)),"공구","일반")</f>
        <v/>
      </c>
    </row>
    <row r="50">
      <c r="A50" s="75" t="inlineStr">
        <is>
          <t>아넬라</t>
        </is>
      </c>
      <c r="B50" s="79" t="inlineStr">
        <is>
          <t>397518031</t>
        </is>
      </c>
      <c r="C50" s="75" t="inlineStr">
        <is>
          <t>아넬라 1팩(100gX2개) 당근 퓨레 아기과일 이유식퓨레</t>
        </is>
      </c>
      <c r="D50" s="76" t="n">
        <v>1</v>
      </c>
      <c r="E50" s="76" t="n">
        <v>5400</v>
      </c>
      <c r="F50" s="76" t="n">
        <v>5400</v>
      </c>
      <c r="G50" s="76" t="n">
        <v>0</v>
      </c>
      <c r="H50" s="75">
        <f>IF(ISNUMBER(SEARCH("공동구매",C50)),"공구","일반")</f>
        <v/>
      </c>
    </row>
    <row r="51">
      <c r="A51" s="75" t="inlineStr">
        <is>
          <t>아넬라</t>
        </is>
      </c>
      <c r="B51" s="79" t="inlineStr">
        <is>
          <t>397518063</t>
        </is>
      </c>
      <c r="C51" s="75" t="inlineStr">
        <is>
          <t>아넬라퓨레1팩(100gX2개) 바나나퓨레 아기간식 이유식퓨레</t>
        </is>
      </c>
      <c r="D51" s="76" t="n">
        <v>1</v>
      </c>
      <c r="E51" s="76" t="n">
        <v>5400</v>
      </c>
      <c r="F51" s="76" t="n">
        <v>5400</v>
      </c>
      <c r="G51" s="76" t="n">
        <v>0</v>
      </c>
      <c r="H51" s="75">
        <f>IF(ISNUMBER(SEARCH("공동구매",C51)),"공구","일반")</f>
        <v/>
      </c>
    </row>
    <row r="52">
      <c r="A52" s="75" t="inlineStr">
        <is>
          <t>아넬라</t>
        </is>
      </c>
      <c r="B52" s="79" t="inlineStr">
        <is>
          <t>397518039</t>
        </is>
      </c>
      <c r="C52" s="75" t="inlineStr">
        <is>
          <t>아넬라 1팩(100gX2개) 사과배 퓨레 아기간식 이유식퓨레</t>
        </is>
      </c>
      <c r="D52" s="76" t="n">
        <v>1</v>
      </c>
      <c r="E52" s="76" t="n">
        <v>5400</v>
      </c>
      <c r="F52" s="76" t="n">
        <v>5400</v>
      </c>
      <c r="G52" s="76" t="n">
        <v>0</v>
      </c>
      <c r="H52" s="75">
        <f>IF(ISNUMBER(SEARCH("공동구매",C52)),"공구","일반")</f>
        <v/>
      </c>
    </row>
    <row r="53">
      <c r="A53" s="75" t="inlineStr">
        <is>
          <t>아넬라</t>
        </is>
      </c>
      <c r="B53" s="79" t="inlineStr">
        <is>
          <t>397513616</t>
        </is>
      </c>
      <c r="C53" s="75" t="inlineStr">
        <is>
          <t>아넬라 과일퓨레 1팩(100gX2개) 망고퓨레 아기과일</t>
        </is>
      </c>
      <c r="D53" s="76" t="n">
        <v>1</v>
      </c>
      <c r="E53" s="76" t="n">
        <v>5400</v>
      </c>
      <c r="F53" s="76" t="n">
        <v>5400</v>
      </c>
      <c r="G53" s="76" t="n">
        <v>0</v>
      </c>
      <c r="H53" s="75">
        <f>IF(ISNUMBER(SEARCH("공동구매",C53)),"공구","일반")</f>
        <v/>
      </c>
    </row>
    <row r="54">
      <c r="A54" s="75" t="inlineStr">
        <is>
          <t>아넬라</t>
        </is>
      </c>
      <c r="B54" s="79" t="inlineStr">
        <is>
          <t>9579661928</t>
        </is>
      </c>
      <c r="C54" s="75" t="inlineStr">
        <is>
          <t>아넬라 아기과자 유기농 롱떡뻥 바나나 1봉</t>
        </is>
      </c>
      <c r="D54" s="76" t="n">
        <v>1</v>
      </c>
      <c r="E54" s="76" t="n">
        <v>3300</v>
      </c>
      <c r="F54" s="76" t="n">
        <v>3300</v>
      </c>
      <c r="G54" s="76" t="n">
        <v>0</v>
      </c>
      <c r="H54" s="75">
        <f>IF(ISNUMBER(SEARCH("공동구매",C54)),"공구","일반")</f>
        <v/>
      </c>
    </row>
    <row r="55">
      <c r="A55" s="75" t="inlineStr">
        <is>
          <t>로지오가닉</t>
        </is>
      </c>
      <c r="B55" s="79" t="inlineStr">
        <is>
          <t>9347229691</t>
        </is>
      </c>
      <c r="C55" s="75" t="inlineStr">
        <is>
          <t>로지오가닉 유기농 아기쌀과자 시작퍼프 8봉</t>
        </is>
      </c>
      <c r="D55" s="76" t="n">
        <v>1262</v>
      </c>
      <c r="E55" s="76" t="n">
        <v>20545100</v>
      </c>
      <c r="F55" s="76" t="n">
        <v>19016260</v>
      </c>
      <c r="G55" s="76" t="n">
        <v>1528840</v>
      </c>
      <c r="H55" s="75">
        <f>IF(ISNUMBER(SEARCH("공동구매",C55)),"공구","일반")</f>
        <v/>
      </c>
    </row>
    <row r="56">
      <c r="A56" s="75" t="inlineStr">
        <is>
          <t>로지오가닉</t>
        </is>
      </c>
      <c r="B56" s="79" t="inlineStr">
        <is>
          <t>13780045411</t>
        </is>
      </c>
      <c r="C56" s="75" t="inlineStr">
        <is>
          <t>아넬라 과일퓨레 공동구매 9차</t>
        </is>
      </c>
      <c r="D56" s="76" t="n">
        <v>109</v>
      </c>
      <c r="E56" s="76" t="n">
        <v>4486900</v>
      </c>
      <c r="F56" s="76" t="n">
        <v>4409400</v>
      </c>
      <c r="G56" s="76" t="n">
        <v>77500</v>
      </c>
      <c r="H56" s="75">
        <f>IF(ISNUMBER(SEARCH("공동구매",C56)),"공구","일반")</f>
        <v/>
      </c>
    </row>
    <row r="57">
      <c r="A57" s="75" t="inlineStr">
        <is>
          <t>로지오가닉</t>
        </is>
      </c>
      <c r="B57" s="79" t="inlineStr">
        <is>
          <t>9347554044</t>
        </is>
      </c>
      <c r="C57" s="75" t="inlineStr">
        <is>
          <t>[첫구매전용] 로지오가닉 아기 쌀과자 첫 만남 구성</t>
        </is>
      </c>
      <c r="D57" s="76" t="n">
        <v>381</v>
      </c>
      <c r="E57" s="76" t="n">
        <v>4029300</v>
      </c>
      <c r="F57" s="76" t="n">
        <v>3930300</v>
      </c>
      <c r="G57" s="76" t="n">
        <v>99000</v>
      </c>
      <c r="H57" s="75">
        <f>IF(ISNUMBER(SEARCH("공동구매",C57)),"공구","일반")</f>
        <v/>
      </c>
    </row>
    <row r="58">
      <c r="A58" s="75" t="inlineStr">
        <is>
          <t>로지오가닉</t>
        </is>
      </c>
      <c r="B58" s="79" t="inlineStr">
        <is>
          <t>13780052204</t>
        </is>
      </c>
      <c r="C58" s="75" t="inlineStr">
        <is>
          <t>아넬라 과일퓨레 공동구매 9차</t>
        </is>
      </c>
      <c r="D58" s="76" t="n">
        <v>98</v>
      </c>
      <c r="E58" s="76" t="n">
        <v>3859300</v>
      </c>
      <c r="F58" s="76" t="n">
        <v>3780900</v>
      </c>
      <c r="G58" s="76" t="n">
        <v>78400</v>
      </c>
      <c r="H58" s="75">
        <f>IF(ISNUMBER(SEARCH("공동구매",C58)),"공구","일반")</f>
        <v/>
      </c>
    </row>
    <row r="59">
      <c r="A59" s="75" t="inlineStr">
        <is>
          <t>로지오가닉</t>
        </is>
      </c>
      <c r="B59" s="79" t="inlineStr">
        <is>
          <t>13780054105</t>
        </is>
      </c>
      <c r="C59" s="75" t="inlineStr">
        <is>
          <t>아넬라 과일퓨레 공동구매 9차</t>
        </is>
      </c>
      <c r="D59" s="76" t="n">
        <v>76</v>
      </c>
      <c r="E59" s="76" t="n">
        <v>3001800</v>
      </c>
      <c r="F59" s="76" t="n">
        <v>2728100</v>
      </c>
      <c r="G59" s="76" t="n">
        <v>273700</v>
      </c>
      <c r="H59" s="75">
        <f>IF(ISNUMBER(SEARCH("공동구매",C59)),"공구","일반")</f>
        <v/>
      </c>
    </row>
    <row r="60">
      <c r="A60" s="75" t="inlineStr">
        <is>
          <t>로지오가닉</t>
        </is>
      </c>
      <c r="B60" s="79" t="inlineStr">
        <is>
          <t>9133978353</t>
        </is>
      </c>
      <c r="C60" s="75" t="inlineStr">
        <is>
          <t>로지오가닉 배도라지즙 진한 목소리도맑음 15팩+15팩 어린이음료</t>
        </is>
      </c>
      <c r="D60" s="76" t="n">
        <v>89</v>
      </c>
      <c r="E60" s="76" t="n">
        <v>2531310</v>
      </c>
      <c r="F60" s="76" t="n">
        <v>2369210</v>
      </c>
      <c r="G60" s="76" t="n">
        <v>162100</v>
      </c>
      <c r="H60" s="75">
        <f>IF(ISNUMBER(SEARCH("공동구매",C60)),"공구","일반")</f>
        <v/>
      </c>
    </row>
    <row r="61">
      <c r="A61" s="75" t="inlineStr">
        <is>
          <t>로지오가닉</t>
        </is>
      </c>
      <c r="B61" s="79" t="inlineStr">
        <is>
          <t>5896449732</t>
        </is>
      </c>
      <c r="C61" s="75" t="inlineStr">
        <is>
          <t>로지오가닉 진한 목소리도맑음 120팩</t>
        </is>
      </c>
      <c r="D61" s="76" t="n">
        <v>32</v>
      </c>
      <c r="E61" s="76" t="n">
        <v>2528610</v>
      </c>
      <c r="F61" s="76" t="n">
        <v>2447710</v>
      </c>
      <c r="G61" s="76" t="n">
        <v>80900</v>
      </c>
      <c r="H61" s="75">
        <f>IF(ISNUMBER(SEARCH("공동구매",C61)),"공구","일반")</f>
        <v/>
      </c>
    </row>
    <row r="62">
      <c r="A62" s="75" t="inlineStr">
        <is>
          <t>로지오가닉</t>
        </is>
      </c>
      <c r="B62" s="79" t="inlineStr">
        <is>
          <t>13780065331</t>
        </is>
      </c>
      <c r="C62" s="75" t="inlineStr">
        <is>
          <t>로지오가닉 유기농 아기쌀과자 공동구매 9차</t>
        </is>
      </c>
      <c r="D62" s="76" t="n">
        <v>83</v>
      </c>
      <c r="E62" s="76" t="n">
        <v>2403710</v>
      </c>
      <c r="F62" s="76" t="n">
        <v>2344910</v>
      </c>
      <c r="G62" s="76" t="n">
        <v>58800</v>
      </c>
      <c r="H62" s="75">
        <f>IF(ISNUMBER(SEARCH("공동구매",C62)),"공구","일반")</f>
        <v/>
      </c>
    </row>
    <row r="63">
      <c r="A63" s="75" t="inlineStr">
        <is>
          <t>로지오가닉</t>
        </is>
      </c>
      <c r="B63" s="79" t="inlineStr">
        <is>
          <t>13780367714</t>
        </is>
      </c>
      <c r="C63" s="75" t="inlineStr">
        <is>
          <t>로지오가닉 유기농 아기쌀과자 공동구매 9차</t>
        </is>
      </c>
      <c r="D63" s="76" t="n">
        <v>78</v>
      </c>
      <c r="E63" s="76" t="n">
        <v>2274510</v>
      </c>
      <c r="F63" s="76" t="n">
        <v>2040310</v>
      </c>
      <c r="G63" s="76" t="n">
        <v>234200</v>
      </c>
      <c r="H63" s="75">
        <f>IF(ISNUMBER(SEARCH("공동구매",C63)),"공구","일반")</f>
        <v/>
      </c>
    </row>
    <row r="64">
      <c r="A64" s="75" t="inlineStr">
        <is>
          <t>로지오가닉</t>
        </is>
      </c>
      <c r="B64" s="79" t="inlineStr">
        <is>
          <t>13795612606</t>
        </is>
      </c>
      <c r="C64" s="75" t="inlineStr">
        <is>
          <t>로지오가닉 유기농 아기쌀과자 공동구매 9차</t>
        </is>
      </c>
      <c r="D64" s="76" t="n">
        <v>71</v>
      </c>
      <c r="E64" s="76" t="n">
        <v>2113480</v>
      </c>
      <c r="F64" s="76" t="n">
        <v>1995340</v>
      </c>
      <c r="G64" s="76" t="n">
        <v>118140</v>
      </c>
      <c r="H64" s="75">
        <f>IF(ISNUMBER(SEARCH("공동구매",C64)),"공구","일반")</f>
        <v/>
      </c>
    </row>
    <row r="65">
      <c r="A65" s="75" t="inlineStr">
        <is>
          <t>로지오가닉</t>
        </is>
      </c>
      <c r="B65" s="79" t="inlineStr">
        <is>
          <t>13795717483</t>
        </is>
      </c>
      <c r="C65" s="75" t="inlineStr">
        <is>
          <t>로지오가닉 유기농 아기쌀과자 공동구매 9차</t>
        </is>
      </c>
      <c r="D65" s="76" t="n">
        <v>71</v>
      </c>
      <c r="E65" s="76" t="n">
        <v>2017600</v>
      </c>
      <c r="F65" s="76" t="n">
        <v>1847700</v>
      </c>
      <c r="G65" s="76" t="n">
        <v>169900</v>
      </c>
      <c r="H65" s="75">
        <f>IF(ISNUMBER(SEARCH("공동구매",C65)),"공구","일반")</f>
        <v/>
      </c>
    </row>
    <row r="66">
      <c r="A66" s="75" t="inlineStr">
        <is>
          <t>로지오가닉</t>
        </is>
      </c>
      <c r="B66" s="79" t="inlineStr">
        <is>
          <t>13780060069</t>
        </is>
      </c>
      <c r="C66" s="75" t="inlineStr">
        <is>
          <t>로지오가닉 유기농 아기쌀과자 공동구매 9차</t>
        </is>
      </c>
      <c r="D66" s="76" t="n">
        <v>67</v>
      </c>
      <c r="E66" s="76" t="n">
        <v>1945000</v>
      </c>
      <c r="F66" s="76" t="n">
        <v>1800500</v>
      </c>
      <c r="G66" s="76" t="n">
        <v>144500</v>
      </c>
      <c r="H66" s="75">
        <f>IF(ISNUMBER(SEARCH("공동구매",C66)),"공구","일반")</f>
        <v/>
      </c>
    </row>
    <row r="67">
      <c r="A67" s="75" t="inlineStr">
        <is>
          <t>로지오가닉</t>
        </is>
      </c>
      <c r="B67" s="79" t="inlineStr">
        <is>
          <t>13781563299</t>
        </is>
      </c>
      <c r="C67" s="75" t="inlineStr">
        <is>
          <t>아넬라 과일퓨레 공동구매 9차</t>
        </is>
      </c>
      <c r="D67" s="76" t="n">
        <v>48</v>
      </c>
      <c r="E67" s="76" t="n">
        <v>1932810</v>
      </c>
      <c r="F67" s="76" t="n">
        <v>1738310</v>
      </c>
      <c r="G67" s="76" t="n">
        <v>194500</v>
      </c>
      <c r="H67" s="75">
        <f>IF(ISNUMBER(SEARCH("공동구매",C67)),"공구","일반")</f>
        <v/>
      </c>
    </row>
    <row r="68">
      <c r="A68" s="75" t="inlineStr">
        <is>
          <t>로지오가닉</t>
        </is>
      </c>
      <c r="B68" s="79" t="inlineStr">
        <is>
          <t>9701045794</t>
        </is>
      </c>
      <c r="C68" s="75" t="inlineStr">
        <is>
          <t>로지오가닉 아기젤리 3종 4박스 혼합세트 배도라지 유산균 빌베리 젤리</t>
        </is>
      </c>
      <c r="D68" s="76" t="n">
        <v>53</v>
      </c>
      <c r="E68" s="76" t="n">
        <v>1761160</v>
      </c>
      <c r="F68" s="76" t="n">
        <v>1738260</v>
      </c>
      <c r="G68" s="76" t="n">
        <v>22900</v>
      </c>
      <c r="H68" s="75">
        <f>IF(ISNUMBER(SEARCH("공동구매",C68)),"공구","일반")</f>
        <v/>
      </c>
    </row>
    <row r="69">
      <c r="A69" s="75" t="inlineStr">
        <is>
          <t>로지오가닉</t>
        </is>
      </c>
      <c r="B69" s="79" t="inlineStr">
        <is>
          <t>13810240633</t>
        </is>
      </c>
      <c r="C69" s="75" t="inlineStr">
        <is>
          <t>아넬라 과일퓨레 공동구매 9차</t>
        </is>
      </c>
      <c r="D69" s="76" t="n">
        <v>31</v>
      </c>
      <c r="E69" s="76" t="n">
        <v>1198400</v>
      </c>
      <c r="F69" s="76" t="n">
        <v>1198400</v>
      </c>
      <c r="G69" s="76" t="n">
        <v>0</v>
      </c>
      <c r="H69" s="75">
        <f>IF(ISNUMBER(SEARCH("공동구매",C69)),"공구","일반")</f>
        <v/>
      </c>
    </row>
    <row r="70">
      <c r="A70" s="75" t="inlineStr">
        <is>
          <t>로지오가닉</t>
        </is>
      </c>
      <c r="B70" s="79" t="inlineStr">
        <is>
          <t>13781736340</t>
        </is>
      </c>
      <c r="C70" s="75" t="inlineStr">
        <is>
          <t>아넬라 과일퓨레 공동구매 9차</t>
        </is>
      </c>
      <c r="D70" s="76" t="n">
        <v>29</v>
      </c>
      <c r="E70" s="76" t="n">
        <v>1165900</v>
      </c>
      <c r="F70" s="76" t="n">
        <v>1087100</v>
      </c>
      <c r="G70" s="76" t="n">
        <v>78800</v>
      </c>
      <c r="H70" s="75">
        <f>IF(ISNUMBER(SEARCH("공동구매",C70)),"공구","일반")</f>
        <v/>
      </c>
    </row>
    <row r="71">
      <c r="A71" s="75" t="inlineStr">
        <is>
          <t>로지오가닉</t>
        </is>
      </c>
      <c r="B71" s="79" t="inlineStr">
        <is>
          <t>13780054924</t>
        </is>
      </c>
      <c r="C71" s="75" t="inlineStr">
        <is>
          <t>아넬라 과일퓨레 공동구매 9차</t>
        </is>
      </c>
      <c r="D71" s="76" t="n">
        <v>25</v>
      </c>
      <c r="E71" s="76" t="n">
        <v>1016200</v>
      </c>
      <c r="F71" s="76" t="n">
        <v>1016200</v>
      </c>
      <c r="G71" s="76" t="n">
        <v>0</v>
      </c>
      <c r="H71" s="75">
        <f>IF(ISNUMBER(SEARCH("공동구매",C71)),"공구","일반")</f>
        <v/>
      </c>
    </row>
    <row r="72">
      <c r="A72" s="75" t="inlineStr">
        <is>
          <t>로지오가닉</t>
        </is>
      </c>
      <c r="B72" s="79" t="inlineStr">
        <is>
          <t>13783043778</t>
        </is>
      </c>
      <c r="C72" s="75" t="inlineStr">
        <is>
          <t>로지오가닉 유기농 아기쌀과자 공동구매 9차</t>
        </is>
      </c>
      <c r="D72" s="76" t="n">
        <v>34</v>
      </c>
      <c r="E72" s="76" t="n">
        <v>987110</v>
      </c>
      <c r="F72" s="76" t="n">
        <v>958210</v>
      </c>
      <c r="G72" s="76" t="n">
        <v>28900</v>
      </c>
      <c r="H72" s="75">
        <f>IF(ISNUMBER(SEARCH("공동구매",C72)),"공구","일반")</f>
        <v/>
      </c>
    </row>
    <row r="73">
      <c r="A73" s="75" t="inlineStr">
        <is>
          <t>로지오가닉</t>
        </is>
      </c>
      <c r="B73" s="79" t="inlineStr">
        <is>
          <t>13780351660</t>
        </is>
      </c>
      <c r="C73" s="75" t="inlineStr">
        <is>
          <t>아넬라 과일퓨레 공동구매 9차</t>
        </is>
      </c>
      <c r="D73" s="76" t="n">
        <v>25</v>
      </c>
      <c r="E73" s="76" t="n">
        <v>969500</v>
      </c>
      <c r="F73" s="76" t="n">
        <v>930600</v>
      </c>
      <c r="G73" s="76" t="n">
        <v>38900</v>
      </c>
      <c r="H73" s="75">
        <f>IF(ISNUMBER(SEARCH("공동구매",C73)),"공구","일반")</f>
        <v/>
      </c>
    </row>
    <row r="74">
      <c r="A74" s="75" t="inlineStr">
        <is>
          <t>로지오가닉</t>
        </is>
      </c>
      <c r="B74" s="79" t="inlineStr">
        <is>
          <t>13780355327</t>
        </is>
      </c>
      <c r="C74" s="75" t="inlineStr">
        <is>
          <t>아넬라 과일퓨레 공동구매 9차</t>
        </is>
      </c>
      <c r="D74" s="76" t="n">
        <v>24</v>
      </c>
      <c r="E74" s="76" t="n">
        <v>939200</v>
      </c>
      <c r="F74" s="76" t="n">
        <v>900300</v>
      </c>
      <c r="G74" s="76" t="n">
        <v>38900</v>
      </c>
      <c r="H74" s="75">
        <f>IF(ISNUMBER(SEARCH("공동구매",C74)),"공구","일반")</f>
        <v/>
      </c>
    </row>
    <row r="75">
      <c r="A75" s="75" t="inlineStr">
        <is>
          <t>로지오가닉</t>
        </is>
      </c>
      <c r="B75" s="79" t="inlineStr">
        <is>
          <t>13780371280</t>
        </is>
      </c>
      <c r="C75" s="75" t="inlineStr">
        <is>
          <t>로지오가닉 유기농 아기쌀과자 공동구매 9차</t>
        </is>
      </c>
      <c r="D75" s="76" t="n">
        <v>32</v>
      </c>
      <c r="E75" s="76" t="n">
        <v>935600</v>
      </c>
      <c r="F75" s="76" t="n">
        <v>875900</v>
      </c>
      <c r="G75" s="76" t="n">
        <v>59700</v>
      </c>
      <c r="H75" s="75">
        <f>IF(ISNUMBER(SEARCH("공동구매",C75)),"공구","일반")</f>
        <v/>
      </c>
    </row>
    <row r="76">
      <c r="A76" s="75" t="inlineStr">
        <is>
          <t>로지오가닉</t>
        </is>
      </c>
      <c r="B76" s="79" t="inlineStr">
        <is>
          <t>13783031510</t>
        </is>
      </c>
      <c r="C76" s="75" t="inlineStr">
        <is>
          <t>아넬라 과일퓨레 공동구매 9차</t>
        </is>
      </c>
      <c r="D76" s="76" t="n">
        <v>23</v>
      </c>
      <c r="E76" s="76" t="n">
        <v>930000</v>
      </c>
      <c r="F76" s="76" t="n">
        <v>930000</v>
      </c>
      <c r="G76" s="76" t="n">
        <v>0</v>
      </c>
      <c r="H76" s="75">
        <f>IF(ISNUMBER(SEARCH("공동구매",C76)),"공구","일반")</f>
        <v/>
      </c>
    </row>
    <row r="77">
      <c r="A77" s="75" t="inlineStr">
        <is>
          <t>로지오가닉</t>
        </is>
      </c>
      <c r="B77" s="79" t="inlineStr">
        <is>
          <t>13779991211</t>
        </is>
      </c>
      <c r="C77" s="75" t="inlineStr">
        <is>
          <t>아넬라 과일퓨레 공동구매 9차</t>
        </is>
      </c>
      <c r="D77" s="76" t="n">
        <v>23</v>
      </c>
      <c r="E77" s="76" t="n">
        <v>890600</v>
      </c>
      <c r="F77" s="76" t="n">
        <v>812800</v>
      </c>
      <c r="G77" s="76" t="n">
        <v>77800</v>
      </c>
      <c r="H77" s="75">
        <f>IF(ISNUMBER(SEARCH("공동구매",C77)),"공구","일반")</f>
        <v/>
      </c>
    </row>
    <row r="78">
      <c r="A78" s="75" t="inlineStr">
        <is>
          <t>로지오가닉</t>
        </is>
      </c>
      <c r="B78" s="79" t="inlineStr">
        <is>
          <t>12442907099</t>
        </is>
      </c>
      <c r="C78" s="75" t="inlineStr">
        <is>
          <t>로지오가닉 유기농 아기쌀과자 떡뻥 8봉</t>
        </is>
      </c>
      <c r="D78" s="76" t="n">
        <v>37</v>
      </c>
      <c r="E78" s="76" t="n">
        <v>819300</v>
      </c>
      <c r="F78" s="76" t="n">
        <v>773500</v>
      </c>
      <c r="G78" s="76" t="n">
        <v>45800</v>
      </c>
      <c r="H78" s="75">
        <f>IF(ISNUMBER(SEARCH("공동구매",C78)),"공구","일반")</f>
        <v/>
      </c>
    </row>
    <row r="79">
      <c r="A79" s="75" t="inlineStr">
        <is>
          <t>로지오가닉</t>
        </is>
      </c>
      <c r="B79" s="79" t="inlineStr">
        <is>
          <t>12334249197</t>
        </is>
      </c>
      <c r="C79" s="75" t="inlineStr">
        <is>
          <t>로지오가닉 유기농 쌀과자 시작스틱 8봉</t>
        </is>
      </c>
      <c r="D79" s="76" t="n">
        <v>32</v>
      </c>
      <c r="E79" s="76" t="n">
        <v>664050</v>
      </c>
      <c r="F79" s="76" t="n">
        <v>624450</v>
      </c>
      <c r="G79" s="76" t="n">
        <v>39600</v>
      </c>
      <c r="H79" s="75">
        <f>IF(ISNUMBER(SEARCH("공동구매",C79)),"공구","일반")</f>
        <v/>
      </c>
    </row>
    <row r="80">
      <c r="A80" s="75" t="inlineStr">
        <is>
          <t>로지오가닉</t>
        </is>
      </c>
      <c r="B80" s="79" t="inlineStr">
        <is>
          <t>13781562193</t>
        </is>
      </c>
      <c r="C80" s="75" t="inlineStr">
        <is>
          <t>아넬라 과일퓨레 공동구매 9차</t>
        </is>
      </c>
      <c r="D80" s="76" t="n">
        <v>17</v>
      </c>
      <c r="E80" s="76" t="n">
        <v>660400</v>
      </c>
      <c r="F80" s="76" t="n">
        <v>660400</v>
      </c>
      <c r="G80" s="76" t="n">
        <v>0</v>
      </c>
      <c r="H80" s="75">
        <f>IF(ISNUMBER(SEARCH("공동구매",C80)),"공구","일반")</f>
        <v/>
      </c>
    </row>
    <row r="81">
      <c r="A81" s="75" t="inlineStr">
        <is>
          <t>로지오가닉</t>
        </is>
      </c>
      <c r="B81" s="79" t="inlineStr">
        <is>
          <t>11668680856</t>
        </is>
      </c>
      <c r="C81" s="75" t="inlineStr">
        <is>
          <t>로지오가닉 떡뻥 아기과자 간식 롱뻥 스틱 단호박 1봉 외 11종</t>
        </is>
      </c>
      <c r="D81" s="76" t="n">
        <v>181</v>
      </c>
      <c r="E81" s="76" t="n">
        <v>641100</v>
      </c>
      <c r="F81" s="76" t="n">
        <v>613100</v>
      </c>
      <c r="G81" s="76" t="n">
        <v>28000</v>
      </c>
      <c r="H81" s="75">
        <f>IF(ISNUMBER(SEARCH("공동구매",C81)),"공구","일반")</f>
        <v/>
      </c>
    </row>
    <row r="82">
      <c r="A82" s="75" t="inlineStr">
        <is>
          <t>로지오가닉</t>
        </is>
      </c>
      <c r="B82" s="79" t="inlineStr">
        <is>
          <t>13678385791</t>
        </is>
      </c>
      <c r="C82" s="75" t="inlineStr">
        <is>
          <t>로지오가닉 처음 마시는 진한 배도라지즙 10팩 어린이 음료</t>
        </is>
      </c>
      <c r="D82" s="76" t="n">
        <v>32</v>
      </c>
      <c r="E82" s="76" t="n">
        <v>632320</v>
      </c>
      <c r="F82" s="76" t="n">
        <v>619420</v>
      </c>
      <c r="G82" s="76" t="n">
        <v>12900</v>
      </c>
      <c r="H82" s="75">
        <f>IF(ISNUMBER(SEARCH("공동구매",C82)),"공구","일반")</f>
        <v/>
      </c>
    </row>
    <row r="83">
      <c r="A83" s="75" t="inlineStr">
        <is>
          <t>로지오가닉</t>
        </is>
      </c>
      <c r="B83" s="79" t="inlineStr">
        <is>
          <t>13795615547</t>
        </is>
      </c>
      <c r="C83" s="75" t="inlineStr">
        <is>
          <t>아넬라 과일퓨레 공동구매 9차</t>
        </is>
      </c>
      <c r="D83" s="76" t="n">
        <v>16</v>
      </c>
      <c r="E83" s="76" t="n">
        <v>621700</v>
      </c>
      <c r="F83" s="76" t="n">
        <v>582100</v>
      </c>
      <c r="G83" s="76" t="n">
        <v>39600</v>
      </c>
      <c r="H83" s="75">
        <f>IF(ISNUMBER(SEARCH("공동구매",C83)),"공구","일반")</f>
        <v/>
      </c>
    </row>
    <row r="84">
      <c r="A84" s="75" t="inlineStr">
        <is>
          <t>로지오가닉</t>
        </is>
      </c>
      <c r="B84" s="79" t="inlineStr">
        <is>
          <t>13780373241</t>
        </is>
      </c>
      <c r="C84" s="75" t="inlineStr">
        <is>
          <t>로지오가닉 유기농 아기쌀과자 공동구매 9차</t>
        </is>
      </c>
      <c r="D84" s="76" t="n">
        <v>15</v>
      </c>
      <c r="E84" s="76" t="n">
        <v>473600</v>
      </c>
      <c r="F84" s="76" t="n">
        <v>444700</v>
      </c>
      <c r="G84" s="76" t="n">
        <v>28900</v>
      </c>
      <c r="H84" s="75">
        <f>IF(ISNUMBER(SEARCH("공동구매",C84)),"공구","일반")</f>
        <v/>
      </c>
    </row>
    <row r="85">
      <c r="A85" s="75" t="inlineStr">
        <is>
          <t>로지오가닉</t>
        </is>
      </c>
      <c r="B85" s="79" t="inlineStr">
        <is>
          <t>13093971778</t>
        </is>
      </c>
      <c r="C85" s="75" t="inlineStr">
        <is>
          <t>로지오가닉 유산균 아기간식 요거트 로지팝 8봉</t>
        </is>
      </c>
      <c r="D85" s="76" t="n">
        <v>21</v>
      </c>
      <c r="E85" s="76" t="n">
        <v>449900</v>
      </c>
      <c r="F85" s="76" t="n">
        <v>429000</v>
      </c>
      <c r="G85" s="76" t="n">
        <v>20900</v>
      </c>
      <c r="H85" s="75">
        <f>IF(ISNUMBER(SEARCH("공동구매",C85)),"공구","일반")</f>
        <v/>
      </c>
    </row>
    <row r="86">
      <c r="A86" s="75" t="inlineStr">
        <is>
          <t>로지오가닉</t>
        </is>
      </c>
      <c r="B86" s="79" t="inlineStr">
        <is>
          <t>13783027358</t>
        </is>
      </c>
      <c r="C86" s="75" t="inlineStr">
        <is>
          <t>아넬라 과일퓨레 공동구매 9차</t>
        </is>
      </c>
      <c r="D86" s="76" t="n">
        <v>11</v>
      </c>
      <c r="E86" s="76" t="n">
        <v>429700</v>
      </c>
      <c r="F86" s="76" t="n">
        <v>311300</v>
      </c>
      <c r="G86" s="76" t="n">
        <v>118400</v>
      </c>
      <c r="H86" s="75">
        <f>IF(ISNUMBER(SEARCH("공동구매",C86)),"공구","일반")</f>
        <v/>
      </c>
    </row>
    <row r="87">
      <c r="A87" s="75" t="inlineStr">
        <is>
          <t>로지오가닉</t>
        </is>
      </c>
      <c r="B87" s="79" t="inlineStr">
        <is>
          <t>13783020175</t>
        </is>
      </c>
      <c r="C87" s="75" t="inlineStr">
        <is>
          <t>아넬라 과일퓨레 공동구매 9차</t>
        </is>
      </c>
      <c r="D87" s="76" t="n">
        <v>7</v>
      </c>
      <c r="E87" s="76" t="n">
        <v>428100</v>
      </c>
      <c r="F87" s="76" t="n">
        <v>428100</v>
      </c>
      <c r="G87" s="76" t="n">
        <v>0</v>
      </c>
      <c r="H87" s="75">
        <f>IF(ISNUMBER(SEARCH("공동구매",C87)),"공구","일반")</f>
        <v/>
      </c>
    </row>
    <row r="88">
      <c r="A88" s="75" t="inlineStr">
        <is>
          <t>로지오가닉</t>
        </is>
      </c>
      <c r="B88" s="79" t="inlineStr">
        <is>
          <t>9392986514</t>
        </is>
      </c>
      <c r="C88" s="75" t="inlineStr">
        <is>
          <t>[첫구매전용] 로지오가닉 아기 음료 첫 만남 구성</t>
        </is>
      </c>
      <c r="D88" s="76" t="n">
        <v>16</v>
      </c>
      <c r="E88" s="76" t="n">
        <v>411900</v>
      </c>
      <c r="F88" s="76" t="n">
        <v>332300</v>
      </c>
      <c r="G88" s="76" t="n">
        <v>79600</v>
      </c>
      <c r="H88" s="75">
        <f>IF(ISNUMBER(SEARCH("공동구매",C88)),"공구","일반")</f>
        <v/>
      </c>
    </row>
    <row r="89">
      <c r="A89" s="75" t="inlineStr">
        <is>
          <t>로지오가닉</t>
        </is>
      </c>
      <c r="B89" s="79" t="inlineStr">
        <is>
          <t>13780354764</t>
        </is>
      </c>
      <c r="C89" s="75" t="inlineStr">
        <is>
          <t>아넬라 과일퓨레 공동구매 9차</t>
        </is>
      </c>
      <c r="D89" s="76" t="n">
        <v>8</v>
      </c>
      <c r="E89" s="76" t="n">
        <v>388400</v>
      </c>
      <c r="F89" s="76" t="n">
        <v>388400</v>
      </c>
      <c r="G89" s="76" t="n">
        <v>0</v>
      </c>
      <c r="H89" s="75">
        <f>IF(ISNUMBER(SEARCH("공동구매",C89)),"공구","일반")</f>
        <v/>
      </c>
    </row>
    <row r="90">
      <c r="A90" s="75" t="inlineStr">
        <is>
          <t>로지오가닉</t>
        </is>
      </c>
      <c r="B90" s="79" t="inlineStr">
        <is>
          <t>9212202772</t>
        </is>
      </c>
      <c r="C90" s="75" t="inlineStr">
        <is>
          <t>로지오가닉 유기농 아기쌀과자 야채 과일 퍼프 8봉</t>
        </is>
      </c>
      <c r="D90" s="76" t="n">
        <v>17</v>
      </c>
      <c r="E90" s="76" t="n">
        <v>355400</v>
      </c>
      <c r="F90" s="76" t="n">
        <v>335600</v>
      </c>
      <c r="G90" s="76" t="n">
        <v>19800</v>
      </c>
      <c r="H90" s="75">
        <f>IF(ISNUMBER(SEARCH("공동구매",C90)),"공구","일반")</f>
        <v/>
      </c>
    </row>
    <row r="91">
      <c r="A91" s="75" t="inlineStr">
        <is>
          <t>로지오가닉</t>
        </is>
      </c>
      <c r="B91" s="79" t="inlineStr">
        <is>
          <t>12417327589</t>
        </is>
      </c>
      <c r="C91" s="75" t="inlineStr">
        <is>
          <t>로지오가닉 유기농 쌀과자 3종×2p 세트 20g 1세트 (퍼프6종)</t>
        </is>
      </c>
      <c r="D91" s="76" t="n">
        <v>21</v>
      </c>
      <c r="E91" s="76" t="n">
        <v>312900</v>
      </c>
      <c r="F91" s="76" t="n">
        <v>312900</v>
      </c>
      <c r="G91" s="76" t="n">
        <v>0</v>
      </c>
      <c r="H91" s="75">
        <f>IF(ISNUMBER(SEARCH("공동구매",C91)),"공구","일반")</f>
        <v/>
      </c>
    </row>
    <row r="92">
      <c r="A92" s="75" t="inlineStr">
        <is>
          <t>로지오가닉</t>
        </is>
      </c>
      <c r="B92" s="79" t="inlineStr">
        <is>
          <t>13781737464</t>
        </is>
      </c>
      <c r="C92" s="75" t="inlineStr">
        <is>
          <t>아넬라 과일퓨레 공동구매 9차</t>
        </is>
      </c>
      <c r="D92" s="76" t="n">
        <v>7</v>
      </c>
      <c r="E92" s="76" t="n">
        <v>272400</v>
      </c>
      <c r="F92" s="76" t="n">
        <v>233500</v>
      </c>
      <c r="G92" s="76" t="n">
        <v>38900</v>
      </c>
      <c r="H92" s="75">
        <f>IF(ISNUMBER(SEARCH("공동구매",C92)),"공구","일반")</f>
        <v/>
      </c>
    </row>
    <row r="93">
      <c r="A93" s="75" t="inlineStr">
        <is>
          <t>로지오가닉</t>
        </is>
      </c>
      <c r="B93" s="79" t="inlineStr">
        <is>
          <t>9640722863</t>
        </is>
      </c>
      <c r="C93" s="75" t="inlineStr">
        <is>
          <t>로지오가닉 처음 마시는 순한 배도라지차 2봉(30티백)</t>
        </is>
      </c>
      <c r="D93" s="76" t="n">
        <v>14</v>
      </c>
      <c r="E93" s="76" t="n">
        <v>264820</v>
      </c>
      <c r="F93" s="76" t="n">
        <v>264820</v>
      </c>
      <c r="G93" s="76" t="n">
        <v>0</v>
      </c>
      <c r="H93" s="75">
        <f>IF(ISNUMBER(SEARCH("공동구매",C93)),"공구","일반")</f>
        <v/>
      </c>
    </row>
    <row r="94">
      <c r="A94" s="75" t="inlineStr">
        <is>
          <t>로지오가닉</t>
        </is>
      </c>
      <c r="B94" s="79" t="inlineStr">
        <is>
          <t>13728007059</t>
        </is>
      </c>
      <c r="C94" s="75" t="inlineStr">
        <is>
          <t>[첫구매전용] 로지오가닉 아기 과즙 젤리 첫 만남 구성</t>
        </is>
      </c>
      <c r="D94" s="76" t="n">
        <v>34</v>
      </c>
      <c r="E94" s="76" t="n">
        <v>252800</v>
      </c>
      <c r="F94" s="76" t="n">
        <v>233200</v>
      </c>
      <c r="G94" s="76" t="n">
        <v>19600</v>
      </c>
      <c r="H94" s="75">
        <f>IF(ISNUMBER(SEARCH("공동구매",C94)),"공구","일반")</f>
        <v/>
      </c>
    </row>
    <row r="95">
      <c r="A95" s="75" t="inlineStr">
        <is>
          <t>로지오가닉</t>
        </is>
      </c>
      <c r="B95" s="79" t="inlineStr">
        <is>
          <t>9211182785</t>
        </is>
      </c>
      <c r="C95" s="75" t="inlineStr">
        <is>
          <t>로지오가닉 영유아 배도라지 젤리 목소리도 맑음 4박스 (40포)</t>
        </is>
      </c>
      <c r="D95" s="76" t="n">
        <v>8</v>
      </c>
      <c r="E95" s="76" t="n">
        <v>237800</v>
      </c>
      <c r="F95" s="76" t="n">
        <v>237800</v>
      </c>
      <c r="G95" s="76" t="n">
        <v>0</v>
      </c>
      <c r="H95" s="75">
        <f>IF(ISNUMBER(SEARCH("공동구매",C95)),"공구","일반")</f>
        <v/>
      </c>
    </row>
    <row r="96">
      <c r="A96" s="75" t="inlineStr">
        <is>
          <t>로지오가닉</t>
        </is>
      </c>
      <c r="B96" s="79" t="inlineStr">
        <is>
          <t>13793823687</t>
        </is>
      </c>
      <c r="C96" s="75" t="inlineStr">
        <is>
          <t>아넬라 과일퓨레 공동구매 9차</t>
        </is>
      </c>
      <c r="D96" s="76" t="n">
        <v>6</v>
      </c>
      <c r="E96" s="76" t="n">
        <v>235500</v>
      </c>
      <c r="F96" s="76" t="n">
        <v>235500</v>
      </c>
      <c r="G96" s="76" t="n">
        <v>0</v>
      </c>
      <c r="H96" s="75">
        <f>IF(ISNUMBER(SEARCH("공동구매",C96)),"공구","일반")</f>
        <v/>
      </c>
    </row>
    <row r="97">
      <c r="A97" s="75" t="inlineStr">
        <is>
          <t>로지오가닉</t>
        </is>
      </c>
      <c r="B97" s="79" t="inlineStr">
        <is>
          <t>12417278331</t>
        </is>
      </c>
      <c r="C97" s="75" t="inlineStr">
        <is>
          <t>로지오가닉 유기농 쌀과자 3종×2p 세트 25g 1세트 과일혼합맛(스틱,퍼프)</t>
        </is>
      </c>
      <c r="D97" s="76" t="n">
        <v>15</v>
      </c>
      <c r="E97" s="76" t="n">
        <v>223050</v>
      </c>
      <c r="F97" s="76" t="n">
        <v>178650</v>
      </c>
      <c r="G97" s="76" t="n">
        <v>44400</v>
      </c>
      <c r="H97" s="75">
        <f>IF(ISNUMBER(SEARCH("공동구매",C97)),"공구","일반")</f>
        <v/>
      </c>
    </row>
    <row r="98">
      <c r="A98" s="75" t="inlineStr">
        <is>
          <t>로지오가닉</t>
        </is>
      </c>
      <c r="B98" s="79" t="inlineStr">
        <is>
          <t>13780370779</t>
        </is>
      </c>
      <c r="C98" s="75" t="inlineStr">
        <is>
          <t>로지오가닉 유기농 아기쌀과자 공동구매 9차</t>
        </is>
      </c>
      <c r="D98" s="76" t="n">
        <v>7</v>
      </c>
      <c r="E98" s="76" t="n">
        <v>202610</v>
      </c>
      <c r="F98" s="76" t="n">
        <v>202610</v>
      </c>
      <c r="G98" s="76" t="n">
        <v>0</v>
      </c>
      <c r="H98" s="75">
        <f>IF(ISNUMBER(SEARCH("공동구매",C98)),"공구","일반")</f>
        <v/>
      </c>
    </row>
    <row r="99">
      <c r="A99" s="75" t="inlineStr">
        <is>
          <t>로지오가닉</t>
        </is>
      </c>
      <c r="B99" s="79" t="inlineStr">
        <is>
          <t>13781561234</t>
        </is>
      </c>
      <c r="C99" s="75" t="inlineStr">
        <is>
          <t>아넬라 과일퓨레 공동구매 9차</t>
        </is>
      </c>
      <c r="D99" s="76" t="n">
        <v>4</v>
      </c>
      <c r="E99" s="76" t="n">
        <v>196800</v>
      </c>
      <c r="F99" s="76" t="n">
        <v>196800</v>
      </c>
      <c r="G99" s="76" t="n">
        <v>0</v>
      </c>
      <c r="H99" s="75">
        <f>IF(ISNUMBER(SEARCH("공동구매",C99)),"공구","일반")</f>
        <v/>
      </c>
    </row>
    <row r="100">
      <c r="A100" s="75" t="inlineStr">
        <is>
          <t>로지오가닉</t>
        </is>
      </c>
      <c r="B100" s="79" t="inlineStr">
        <is>
          <t>13780356701</t>
        </is>
      </c>
      <c r="C100" s="75" t="inlineStr">
        <is>
          <t>아넬라 과일퓨레 공동구매 9차</t>
        </is>
      </c>
      <c r="D100" s="76" t="n">
        <v>5</v>
      </c>
      <c r="E100" s="76" t="n">
        <v>194200</v>
      </c>
      <c r="F100" s="76" t="n">
        <v>194200</v>
      </c>
      <c r="G100" s="76" t="n">
        <v>0</v>
      </c>
      <c r="H100" s="75">
        <f>IF(ISNUMBER(SEARCH("공동구매",C100)),"공구","일반")</f>
        <v/>
      </c>
    </row>
    <row r="101">
      <c r="A101" s="75" t="inlineStr">
        <is>
          <t>로지오가닉</t>
        </is>
      </c>
      <c r="B101" s="79" t="inlineStr">
        <is>
          <t>13781567345</t>
        </is>
      </c>
      <c r="C101" s="75" t="inlineStr">
        <is>
          <t>로지오가닉 유기농 아기쌀과자 공동구매 9차</t>
        </is>
      </c>
      <c r="D101" s="76" t="n">
        <v>6</v>
      </c>
      <c r="E101" s="76" t="n">
        <v>176300</v>
      </c>
      <c r="F101" s="76" t="n">
        <v>176300</v>
      </c>
      <c r="G101" s="76" t="n">
        <v>0</v>
      </c>
      <c r="H101" s="75">
        <f>IF(ISNUMBER(SEARCH("공동구매",C101)),"공구","일반")</f>
        <v/>
      </c>
    </row>
    <row r="102">
      <c r="A102" s="75" t="inlineStr">
        <is>
          <t>로지오가닉</t>
        </is>
      </c>
      <c r="B102" s="79" t="inlineStr">
        <is>
          <t>13780366993</t>
        </is>
      </c>
      <c r="C102" s="75" t="inlineStr">
        <is>
          <t>로지오가닉 유기농 아기쌀과자 공동구매 9차</t>
        </is>
      </c>
      <c r="D102" s="76" t="n">
        <v>6</v>
      </c>
      <c r="E102" s="76" t="n">
        <v>175400</v>
      </c>
      <c r="F102" s="76" t="n">
        <v>175400</v>
      </c>
      <c r="G102" s="76" t="n">
        <v>0</v>
      </c>
      <c r="H102" s="75">
        <f>IF(ISNUMBER(SEARCH("공동구매",C102)),"공구","일반")</f>
        <v/>
      </c>
    </row>
    <row r="103">
      <c r="A103" s="75" t="inlineStr">
        <is>
          <t>로지오가닉</t>
        </is>
      </c>
      <c r="B103" s="79" t="inlineStr">
        <is>
          <t>13781567708</t>
        </is>
      </c>
      <c r="C103" s="75" t="inlineStr">
        <is>
          <t>로지오가닉 유기농 아기쌀과자 공동구매 9차</t>
        </is>
      </c>
      <c r="D103" s="76" t="n">
        <v>6</v>
      </c>
      <c r="E103" s="76" t="n">
        <v>175400</v>
      </c>
      <c r="F103" s="76" t="n">
        <v>146500</v>
      </c>
      <c r="G103" s="76" t="n">
        <v>28900</v>
      </c>
      <c r="H103" s="75">
        <f>IF(ISNUMBER(SEARCH("공동구매",C103)),"공구","일반")</f>
        <v/>
      </c>
    </row>
    <row r="104">
      <c r="A104" s="75" t="inlineStr">
        <is>
          <t>로지오가닉</t>
        </is>
      </c>
      <c r="B104" s="79" t="inlineStr">
        <is>
          <t>13781737996</t>
        </is>
      </c>
      <c r="C104" s="75" t="inlineStr">
        <is>
          <t>로지오가닉 유기농 아기쌀과자 공동구매 9차</t>
        </is>
      </c>
      <c r="D104" s="76" t="n">
        <v>6</v>
      </c>
      <c r="E104" s="76" t="n">
        <v>172300</v>
      </c>
      <c r="F104" s="76" t="n">
        <v>172300</v>
      </c>
      <c r="G104" s="76" t="n">
        <v>0</v>
      </c>
      <c r="H104" s="75">
        <f>IF(ISNUMBER(SEARCH("공동구매",C104)),"공구","일반")</f>
        <v/>
      </c>
    </row>
    <row r="105">
      <c r="A105" s="75" t="inlineStr">
        <is>
          <t>로지오가닉</t>
        </is>
      </c>
      <c r="B105" s="79" t="inlineStr">
        <is>
          <t>12417260662</t>
        </is>
      </c>
      <c r="C105" s="75" t="inlineStr">
        <is>
          <t>로지오가닉 유기농 쌀과자 3종×2p 세트 25g 1세트 야채혼합맛(스틱,퍼프)</t>
        </is>
      </c>
      <c r="D105" s="76" t="n">
        <v>11</v>
      </c>
      <c r="E105" s="76" t="n">
        <v>163900</v>
      </c>
      <c r="F105" s="76" t="n">
        <v>119200</v>
      </c>
      <c r="G105" s="76" t="n">
        <v>44700</v>
      </c>
      <c r="H105" s="75">
        <f>IF(ISNUMBER(SEARCH("공동구매",C105)),"공구","일반")</f>
        <v/>
      </c>
    </row>
    <row r="106">
      <c r="A106" s="75" t="inlineStr">
        <is>
          <t>로지오가닉</t>
        </is>
      </c>
      <c r="B106" s="79" t="inlineStr">
        <is>
          <t>10844051935</t>
        </is>
      </c>
      <c r="C106" s="75" t="inlineStr">
        <is>
          <t>로지오가닉 유기농 쌀과자 스틱 25g 6봉 혼합(백미,사과비트당근,귀리)</t>
        </is>
      </c>
      <c r="D106" s="76" t="n">
        <v>11</v>
      </c>
      <c r="E106" s="76" t="n">
        <v>162750</v>
      </c>
      <c r="F106" s="76" t="n">
        <v>162750</v>
      </c>
      <c r="G106" s="76" t="n">
        <v>0</v>
      </c>
      <c r="H106" s="75">
        <f>IF(ISNUMBER(SEARCH("공동구매",C106)),"공구","일반")</f>
        <v/>
      </c>
    </row>
    <row r="107">
      <c r="A107" s="75" t="inlineStr">
        <is>
          <t>로지오가닉</t>
        </is>
      </c>
      <c r="B107" s="79" t="inlineStr">
        <is>
          <t>13783022202</t>
        </is>
      </c>
      <c r="C107" s="75" t="inlineStr">
        <is>
          <t>아넬라 과일퓨레 공동구매 9차</t>
        </is>
      </c>
      <c r="D107" s="76" t="n">
        <v>4</v>
      </c>
      <c r="E107" s="76" t="n">
        <v>156300</v>
      </c>
      <c r="F107" s="76" t="n">
        <v>156300</v>
      </c>
      <c r="G107" s="76" t="n">
        <v>0</v>
      </c>
      <c r="H107" s="75">
        <f>IF(ISNUMBER(SEARCH("공동구매",C107)),"공구","일반")</f>
        <v/>
      </c>
    </row>
    <row r="108">
      <c r="A108" s="75" t="inlineStr">
        <is>
          <t>로지오가닉</t>
        </is>
      </c>
      <c r="B108" s="79" t="inlineStr">
        <is>
          <t>13780045920</t>
        </is>
      </c>
      <c r="C108" s="75" t="inlineStr">
        <is>
          <t>아넬라 과일퓨레 공동구매 9차</t>
        </is>
      </c>
      <c r="D108" s="76" t="n">
        <v>4</v>
      </c>
      <c r="E108" s="76" t="n">
        <v>156200</v>
      </c>
      <c r="F108" s="76" t="n">
        <v>156200</v>
      </c>
      <c r="G108" s="76" t="n">
        <v>0</v>
      </c>
      <c r="H108" s="75">
        <f>IF(ISNUMBER(SEARCH("공동구매",C108)),"공구","일반")</f>
        <v/>
      </c>
    </row>
    <row r="109">
      <c r="A109" s="75" t="inlineStr">
        <is>
          <t>로지오가닉</t>
        </is>
      </c>
      <c r="B109" s="79" t="inlineStr">
        <is>
          <t>13781550960</t>
        </is>
      </c>
      <c r="C109" s="75" t="inlineStr">
        <is>
          <t>아넬라 과일퓨레 공동구매 9차</t>
        </is>
      </c>
      <c r="D109" s="76" t="n">
        <v>4</v>
      </c>
      <c r="E109" s="76" t="n">
        <v>155900</v>
      </c>
      <c r="F109" s="76" t="n">
        <v>155900</v>
      </c>
      <c r="G109" s="76" t="n">
        <v>0</v>
      </c>
      <c r="H109" s="75">
        <f>IF(ISNUMBER(SEARCH("공동구매",C109)),"공구","일반")</f>
        <v/>
      </c>
    </row>
    <row r="110">
      <c r="A110" s="75" t="inlineStr">
        <is>
          <t>로지오가닉</t>
        </is>
      </c>
      <c r="B110" s="79" t="inlineStr">
        <is>
          <t>9102399520</t>
        </is>
      </c>
      <c r="C110" s="75" t="inlineStr">
        <is>
          <t>로지오가닉 진한 목소리도맑음 90팩</t>
        </is>
      </c>
      <c r="D110" s="76" t="n">
        <v>2</v>
      </c>
      <c r="E110" s="76" t="n">
        <v>151800</v>
      </c>
      <c r="F110" s="76" t="n">
        <v>151800</v>
      </c>
      <c r="G110" s="76" t="n">
        <v>0</v>
      </c>
      <c r="H110" s="75">
        <f>IF(ISNUMBER(SEARCH("공동구매",C110)),"공구","일반")</f>
        <v/>
      </c>
    </row>
    <row r="111">
      <c r="A111" s="75" t="inlineStr">
        <is>
          <t>로지오가닉</t>
        </is>
      </c>
      <c r="B111" s="79" t="inlineStr">
        <is>
          <t>13064658418</t>
        </is>
      </c>
      <c r="C111" s="75" t="inlineStr">
        <is>
          <t>아넬라 과일퓨레 1팩 사과 아기과일 외 15종</t>
        </is>
      </c>
      <c r="D111" s="76" t="n">
        <v>25</v>
      </c>
      <c r="E111" s="76" t="n">
        <v>146700</v>
      </c>
      <c r="F111" s="76" t="n">
        <v>141600</v>
      </c>
      <c r="G111" s="76" t="n">
        <v>5100</v>
      </c>
      <c r="H111" s="75">
        <f>IF(ISNUMBER(SEARCH("공동구매",C111)),"공구","일반")</f>
        <v/>
      </c>
    </row>
    <row r="112">
      <c r="A112" s="75" t="inlineStr">
        <is>
          <t>로지오가닉</t>
        </is>
      </c>
      <c r="B112" s="79" t="inlineStr">
        <is>
          <t>13781568197</t>
        </is>
      </c>
      <c r="C112" s="75" t="inlineStr">
        <is>
          <t>로지오가닉 유기농 아기쌀과자 공동구매 9차</t>
        </is>
      </c>
      <c r="D112" s="76" t="n">
        <v>5</v>
      </c>
      <c r="E112" s="76" t="n">
        <v>145400</v>
      </c>
      <c r="F112" s="76" t="n">
        <v>145400</v>
      </c>
      <c r="G112" s="76" t="n">
        <v>0</v>
      </c>
      <c r="H112" s="75">
        <f>IF(ISNUMBER(SEARCH("공동구매",C112)),"공구","일반")</f>
        <v/>
      </c>
    </row>
    <row r="113">
      <c r="A113" s="75" t="inlineStr">
        <is>
          <t>로지오가닉</t>
        </is>
      </c>
      <c r="B113" s="79" t="inlineStr">
        <is>
          <t>13780365071</t>
        </is>
      </c>
      <c r="C113" s="75" t="inlineStr">
        <is>
          <t>로지오가닉 유기농 아기쌀과자 공동구매 9차</t>
        </is>
      </c>
      <c r="D113" s="76" t="n">
        <v>4</v>
      </c>
      <c r="E113" s="76" t="n">
        <v>119400</v>
      </c>
      <c r="F113" s="76" t="n">
        <v>119400</v>
      </c>
      <c r="G113" s="76" t="n">
        <v>0</v>
      </c>
      <c r="H113" s="75">
        <f>IF(ISNUMBER(SEARCH("공동구매",C113)),"공구","일반")</f>
        <v/>
      </c>
    </row>
    <row r="114">
      <c r="A114" s="75" t="inlineStr">
        <is>
          <t>로지오가닉</t>
        </is>
      </c>
      <c r="B114" s="79" t="inlineStr">
        <is>
          <t>13783021744</t>
        </is>
      </c>
      <c r="C114" s="75" t="inlineStr">
        <is>
          <t>아넬라 과일퓨레 공동구매 9차</t>
        </is>
      </c>
      <c r="D114" s="76" t="n">
        <v>3</v>
      </c>
      <c r="E114" s="76" t="n">
        <v>116700</v>
      </c>
      <c r="F114" s="76" t="n">
        <v>77800</v>
      </c>
      <c r="G114" s="76" t="n">
        <v>38900</v>
      </c>
      <c r="H114" s="75">
        <f>IF(ISNUMBER(SEARCH("공동구매",C114)),"공구","일반")</f>
        <v/>
      </c>
    </row>
    <row r="115">
      <c r="A115" s="75" t="inlineStr">
        <is>
          <t>로지오가닉</t>
        </is>
      </c>
      <c r="B115" s="79" t="inlineStr">
        <is>
          <t>13781740853</t>
        </is>
      </c>
      <c r="C115" s="75" t="inlineStr">
        <is>
          <t>로지오가닉 유기농 아기쌀과자 공동구매 9차</t>
        </is>
      </c>
      <c r="D115" s="76" t="n">
        <v>4</v>
      </c>
      <c r="E115" s="76" t="n">
        <v>116600</v>
      </c>
      <c r="F115" s="76" t="n">
        <v>87700</v>
      </c>
      <c r="G115" s="76" t="n">
        <v>28900</v>
      </c>
      <c r="H115" s="75">
        <f>IF(ISNUMBER(SEARCH("공동구매",C115)),"공구","일반")</f>
        <v/>
      </c>
    </row>
    <row r="116">
      <c r="A116" s="75" t="inlineStr">
        <is>
          <t>로지오가닉</t>
        </is>
      </c>
      <c r="B116" s="79" t="inlineStr">
        <is>
          <t>13781575978</t>
        </is>
      </c>
      <c r="C116" s="75" t="inlineStr">
        <is>
          <t>로지오가닉 처음 마시는 유기농 진한 배도라지즙 아기 보리차 공동구매 3차</t>
        </is>
      </c>
      <c r="D116" s="76" t="n">
        <v>3</v>
      </c>
      <c r="E116" s="76" t="n">
        <v>105400</v>
      </c>
      <c r="F116" s="76" t="n">
        <v>52700</v>
      </c>
      <c r="G116" s="76" t="n">
        <v>52700</v>
      </c>
      <c r="H116" s="75">
        <f>IF(ISNUMBER(SEARCH("공동구매",C116)),"공구","일반")</f>
        <v/>
      </c>
    </row>
    <row r="117">
      <c r="A117" s="75" t="inlineStr">
        <is>
          <t>로지오가닉</t>
        </is>
      </c>
      <c r="B117" s="79" t="inlineStr">
        <is>
          <t>13335979699</t>
        </is>
      </c>
      <c r="C117" s="75" t="inlineStr">
        <is>
          <t>로지오가닉 유산균 요거트 로지팝 사과/딸기/바나나 3봉 x 2p 세트</t>
        </is>
      </c>
      <c r="D117" s="76" t="n">
        <v>7</v>
      </c>
      <c r="E117" s="76" t="n">
        <v>101300</v>
      </c>
      <c r="F117" s="76" t="n">
        <v>101300</v>
      </c>
      <c r="G117" s="76" t="n">
        <v>0</v>
      </c>
      <c r="H117" s="75">
        <f>IF(ISNUMBER(SEARCH("공동구매",C117)),"공구","일반")</f>
        <v/>
      </c>
    </row>
    <row r="118">
      <c r="A118" s="75" t="inlineStr">
        <is>
          <t>로지오가닉</t>
        </is>
      </c>
      <c r="B118" s="79" t="inlineStr">
        <is>
          <t>9211145209</t>
        </is>
      </c>
      <c r="C118" s="75" t="inlineStr">
        <is>
          <t>로지오가닉 영유아 빌베리 젤리 안경도둑 똘망 4박스 (40포)</t>
        </is>
      </c>
      <c r="D118" s="76" t="n">
        <v>3</v>
      </c>
      <c r="E118" s="76" t="n">
        <v>100800</v>
      </c>
      <c r="F118" s="76" t="n">
        <v>100800</v>
      </c>
      <c r="G118" s="76" t="n">
        <v>0</v>
      </c>
      <c r="H118" s="75">
        <f>IF(ISNUMBER(SEARCH("공동구매",C118)),"공구","일반")</f>
        <v/>
      </c>
    </row>
    <row r="119">
      <c r="A119" s="75" t="inlineStr">
        <is>
          <t>로지오가닉</t>
        </is>
      </c>
      <c r="B119" s="79" t="inlineStr">
        <is>
          <t>13678385013</t>
        </is>
      </c>
      <c r="C119" s="75" t="inlineStr">
        <is>
          <t>로지오가닉 처음 마시는 순한 유기농 아기 보리차 10팩 어린이 음료</t>
        </is>
      </c>
      <c r="D119" s="76" t="n">
        <v>5</v>
      </c>
      <c r="E119" s="76" t="n">
        <v>98000</v>
      </c>
      <c r="F119" s="76" t="n">
        <v>98000</v>
      </c>
      <c r="G119" s="76" t="n">
        <v>0</v>
      </c>
      <c r="H119" s="75">
        <f>IF(ISNUMBER(SEARCH("공동구매",C119)),"공구","일반")</f>
        <v/>
      </c>
    </row>
    <row r="120">
      <c r="A120" s="75" t="inlineStr">
        <is>
          <t>로지오가닉</t>
        </is>
      </c>
      <c r="B120" s="79" t="inlineStr">
        <is>
          <t>13783042483</t>
        </is>
      </c>
      <c r="C120" s="75" t="inlineStr">
        <is>
          <t>로지오가닉 유기농 아기쌀과자 공동구매 9차</t>
        </is>
      </c>
      <c r="D120" s="76" t="n">
        <v>3</v>
      </c>
      <c r="E120" s="76" t="n">
        <v>90500</v>
      </c>
      <c r="F120" s="76" t="n">
        <v>90500</v>
      </c>
      <c r="G120" s="76" t="n">
        <v>0</v>
      </c>
      <c r="H120" s="75">
        <f>IF(ISNUMBER(SEARCH("공동구매",C120)),"공구","일반")</f>
        <v/>
      </c>
    </row>
    <row r="121">
      <c r="A121" s="75" t="inlineStr">
        <is>
          <t>로지오가닉</t>
        </is>
      </c>
      <c r="B121" s="79" t="inlineStr">
        <is>
          <t>13784780187</t>
        </is>
      </c>
      <c r="C121" s="75" t="inlineStr">
        <is>
          <t>로지오가닉 유기농 아기쌀과자 공동구매 9차</t>
        </is>
      </c>
      <c r="D121" s="76" t="n">
        <v>3</v>
      </c>
      <c r="E121" s="76" t="n">
        <v>87700</v>
      </c>
      <c r="F121" s="76" t="n">
        <v>87700</v>
      </c>
      <c r="G121" s="76" t="n">
        <v>0</v>
      </c>
      <c r="H121" s="75">
        <f>IF(ISNUMBER(SEARCH("공동구매",C121)),"공구","일반")</f>
        <v/>
      </c>
    </row>
    <row r="122">
      <c r="A122" s="75" t="inlineStr">
        <is>
          <t>로지오가닉</t>
        </is>
      </c>
      <c r="B122" s="79" t="inlineStr">
        <is>
          <t>13781566721</t>
        </is>
      </c>
      <c r="C122" s="75" t="inlineStr">
        <is>
          <t>로지오가닉 유기농 아기쌀과자 공동구매 9차</t>
        </is>
      </c>
      <c r="D122" s="76" t="n">
        <v>3</v>
      </c>
      <c r="E122" s="76" t="n">
        <v>87600</v>
      </c>
      <c r="F122" s="76" t="n">
        <v>87600</v>
      </c>
      <c r="G122" s="76" t="n">
        <v>0</v>
      </c>
      <c r="H122" s="75">
        <f>IF(ISNUMBER(SEARCH("공동구매",C122)),"공구","일반")</f>
        <v/>
      </c>
    </row>
    <row r="123">
      <c r="A123" s="75" t="inlineStr">
        <is>
          <t>로지오가닉</t>
        </is>
      </c>
      <c r="B123" s="79" t="inlineStr">
        <is>
          <t>13780011111</t>
        </is>
      </c>
      <c r="C123" s="75" t="inlineStr">
        <is>
          <t>로지오가닉 유기농 아기쌀과자 공동구매 9차</t>
        </is>
      </c>
      <c r="D123" s="76" t="n">
        <v>3</v>
      </c>
      <c r="E123" s="76" t="n">
        <v>86700</v>
      </c>
      <c r="F123" s="76" t="n">
        <v>86700</v>
      </c>
      <c r="G123" s="76" t="n">
        <v>0</v>
      </c>
      <c r="H123" s="75">
        <f>IF(ISNUMBER(SEARCH("공동구매",C123)),"공구","일반")</f>
        <v/>
      </c>
    </row>
    <row r="124">
      <c r="A124" s="75" t="inlineStr">
        <is>
          <t>로지오가닉</t>
        </is>
      </c>
      <c r="B124" s="79" t="inlineStr">
        <is>
          <t>13783048024</t>
        </is>
      </c>
      <c r="C124" s="75" t="inlineStr">
        <is>
          <t>로지오가닉 처음 마시는 유기농 진한 배도라지즙 아기 보리차 공동구매 3차</t>
        </is>
      </c>
      <c r="D124" s="76" t="n">
        <v>4</v>
      </c>
      <c r="E124" s="76" t="n">
        <v>84500</v>
      </c>
      <c r="F124" s="76" t="n">
        <v>50700</v>
      </c>
      <c r="G124" s="76" t="n">
        <v>33800</v>
      </c>
      <c r="H124" s="75">
        <f>IF(ISNUMBER(SEARCH("공동구매",C124)),"공구","일반")</f>
        <v/>
      </c>
    </row>
    <row r="125">
      <c r="A125" s="75" t="inlineStr">
        <is>
          <t>로지오가닉</t>
        </is>
      </c>
      <c r="B125" s="79" t="inlineStr">
        <is>
          <t>13780351047</t>
        </is>
      </c>
      <c r="C125" s="75" t="inlineStr">
        <is>
          <t>아넬라 과일퓨레 공동구매 9차</t>
        </is>
      </c>
      <c r="D125" s="76" t="n">
        <v>1</v>
      </c>
      <c r="E125" s="76" t="n">
        <v>78800</v>
      </c>
      <c r="F125" s="76" t="n">
        <v>78800</v>
      </c>
      <c r="G125" s="76" t="n">
        <v>0</v>
      </c>
      <c r="H125" s="75">
        <f>IF(ISNUMBER(SEARCH("공동구매",C125)),"공구","일반")</f>
        <v/>
      </c>
    </row>
    <row r="126">
      <c r="A126" s="75" t="inlineStr">
        <is>
          <t>로지오가닉</t>
        </is>
      </c>
      <c r="B126" s="79" t="inlineStr">
        <is>
          <t>9211084491</t>
        </is>
      </c>
      <c r="C126" s="75" t="inlineStr">
        <is>
          <t>로지오가닉 영유아 100억 유산균 젤리 방구소리 방긋 4박스 (40팩)</t>
        </is>
      </c>
      <c r="D126" s="76" t="n">
        <v>2</v>
      </c>
      <c r="E126" s="76" t="n">
        <v>71200</v>
      </c>
      <c r="F126" s="76" t="n">
        <v>71200</v>
      </c>
      <c r="G126" s="76" t="n">
        <v>0</v>
      </c>
      <c r="H126" s="75">
        <f>IF(ISNUMBER(SEARCH("공동구매",C126)),"공구","일반")</f>
        <v/>
      </c>
    </row>
    <row r="127">
      <c r="A127" s="75" t="inlineStr">
        <is>
          <t>로지오가닉</t>
        </is>
      </c>
      <c r="B127" s="79" t="inlineStr">
        <is>
          <t>13780401468</t>
        </is>
      </c>
      <c r="C127" s="75" t="inlineStr">
        <is>
          <t>로지오가닉 처음 마시는 유기농 진한 배도라지즙 아기 보리차 공동구매 3차</t>
        </is>
      </c>
      <c r="D127" s="76" t="n">
        <v>4</v>
      </c>
      <c r="E127" s="76" t="n">
        <v>64600</v>
      </c>
      <c r="F127" s="76" t="n">
        <v>64600</v>
      </c>
      <c r="G127" s="76" t="n">
        <v>0</v>
      </c>
      <c r="H127" s="75">
        <f>IF(ISNUMBER(SEARCH("공동구매",C127)),"공구","일반")</f>
        <v/>
      </c>
    </row>
    <row r="128">
      <c r="A128" s="75" t="inlineStr">
        <is>
          <t>로지오가닉</t>
        </is>
      </c>
      <c r="B128" s="79" t="inlineStr">
        <is>
          <t>12565520812</t>
        </is>
      </c>
      <c r="C128" s="75" t="inlineStr">
        <is>
          <t>로지오가닉 NFC착즙 진한 목소리도맑음 1박스(80ml x30팩)</t>
        </is>
      </c>
      <c r="D128" s="76" t="n">
        <v>2</v>
      </c>
      <c r="E128" s="76" t="n">
        <v>64400</v>
      </c>
      <c r="F128" s="76" t="n">
        <v>64400</v>
      </c>
      <c r="G128" s="76" t="n">
        <v>0</v>
      </c>
      <c r="H128" s="75">
        <f>IF(ISNUMBER(SEARCH("공동구매",C128)),"공구","일반")</f>
        <v/>
      </c>
    </row>
    <row r="129">
      <c r="A129" s="75" t="inlineStr">
        <is>
          <t>로지오가닉</t>
        </is>
      </c>
      <c r="B129" s="79" t="inlineStr">
        <is>
          <t>13793820932</t>
        </is>
      </c>
      <c r="C129" s="75" t="inlineStr">
        <is>
          <t>로지오가닉 유기농 아기쌀과자 공동구매 9차</t>
        </is>
      </c>
      <c r="D129" s="76" t="n">
        <v>2</v>
      </c>
      <c r="E129" s="76" t="n">
        <v>59800</v>
      </c>
      <c r="F129" s="76" t="n">
        <v>59800</v>
      </c>
      <c r="G129" s="76" t="n">
        <v>0</v>
      </c>
      <c r="H129" s="75">
        <f>IF(ISNUMBER(SEARCH("공동구매",C129)),"공구","일반")</f>
        <v/>
      </c>
    </row>
    <row r="130">
      <c r="A130" s="75" t="inlineStr">
        <is>
          <t>로지오가닉</t>
        </is>
      </c>
      <c r="B130" s="79" t="inlineStr">
        <is>
          <t>12417307432</t>
        </is>
      </c>
      <c r="C130" s="75" t="inlineStr">
        <is>
          <t>로지오가닉 유기농 쌀과자 3종×2p 세트 20g 1세트 (과일퍼프)</t>
        </is>
      </c>
      <c r="D130" s="76" t="n">
        <v>4</v>
      </c>
      <c r="E130" s="76" t="n">
        <v>59600</v>
      </c>
      <c r="F130" s="76" t="n">
        <v>59600</v>
      </c>
      <c r="G130" s="76" t="n">
        <v>0</v>
      </c>
      <c r="H130" s="75">
        <f>IF(ISNUMBER(SEARCH("공동구매",C130)),"공구","일반")</f>
        <v/>
      </c>
    </row>
    <row r="131">
      <c r="A131" s="75" t="inlineStr">
        <is>
          <t>로지오가닉</t>
        </is>
      </c>
      <c r="B131" s="79" t="inlineStr">
        <is>
          <t>13780368711</t>
        </is>
      </c>
      <c r="C131" s="75" t="inlineStr">
        <is>
          <t>로지오가닉 유기농 아기쌀과자 공동구매 9차</t>
        </is>
      </c>
      <c r="D131" s="76" t="n">
        <v>2</v>
      </c>
      <c r="E131" s="76" t="n">
        <v>58800</v>
      </c>
      <c r="F131" s="76" t="n">
        <v>58800</v>
      </c>
      <c r="G131" s="76" t="n">
        <v>0</v>
      </c>
      <c r="H131" s="75">
        <f>IF(ISNUMBER(SEARCH("공동구매",C131)),"공구","일반")</f>
        <v/>
      </c>
    </row>
    <row r="132">
      <c r="A132" s="75" t="inlineStr">
        <is>
          <t>로지오가닉</t>
        </is>
      </c>
      <c r="B132" s="79" t="inlineStr">
        <is>
          <t>13780374855</t>
        </is>
      </c>
      <c r="C132" s="75" t="inlineStr">
        <is>
          <t>로지오가닉 유기농 아기쌀과자 공동구매 9차</t>
        </is>
      </c>
      <c r="D132" s="76" t="n">
        <v>2</v>
      </c>
      <c r="E132" s="76" t="n">
        <v>58700</v>
      </c>
      <c r="F132" s="76" t="n">
        <v>58700</v>
      </c>
      <c r="G132" s="76" t="n">
        <v>0</v>
      </c>
      <c r="H132" s="75">
        <f>IF(ISNUMBER(SEARCH("공동구매",C132)),"공구","일반")</f>
        <v/>
      </c>
    </row>
    <row r="133">
      <c r="A133" s="75" t="inlineStr">
        <is>
          <t>로지오가닉</t>
        </is>
      </c>
      <c r="B133" s="79" t="inlineStr">
        <is>
          <t>13062781044</t>
        </is>
      </c>
      <c r="C133" s="75" t="inlineStr">
        <is>
          <t>떠먹는 아넬라 1팩 사과 과일퓨레 아기과일 외 7종</t>
        </is>
      </c>
      <c r="D133" s="76" t="n">
        <v>5</v>
      </c>
      <c r="E133" s="76" t="n">
        <v>58400</v>
      </c>
      <c r="F133" s="76" t="n">
        <v>58400</v>
      </c>
      <c r="G133" s="76" t="n">
        <v>0</v>
      </c>
      <c r="H133" s="75">
        <f>IF(ISNUMBER(SEARCH("공동구매",C133)),"공구","일반")</f>
        <v/>
      </c>
    </row>
    <row r="134">
      <c r="A134" s="75" t="inlineStr">
        <is>
          <t>로지오가닉</t>
        </is>
      </c>
      <c r="B134" s="79" t="inlineStr">
        <is>
          <t>13784779248</t>
        </is>
      </c>
      <c r="C134" s="75" t="inlineStr">
        <is>
          <t>로지오가닉 유기농 아기쌀과자 공동구매 9차</t>
        </is>
      </c>
      <c r="D134" s="76" t="n">
        <v>2</v>
      </c>
      <c r="E134" s="76" t="n">
        <v>57800</v>
      </c>
      <c r="F134" s="76" t="n">
        <v>57800</v>
      </c>
      <c r="G134" s="76" t="n">
        <v>0</v>
      </c>
      <c r="H134" s="75">
        <f>IF(ISNUMBER(SEARCH("공동구매",C134)),"공구","일반")</f>
        <v/>
      </c>
    </row>
    <row r="135">
      <c r="A135" s="75" t="inlineStr">
        <is>
          <t>로지오가닉</t>
        </is>
      </c>
      <c r="B135" s="79" t="inlineStr">
        <is>
          <t>13781569096</t>
        </is>
      </c>
      <c r="C135" s="75" t="inlineStr">
        <is>
          <t>로지오가닉 유기농 아기쌀과자 공동구매 9차</t>
        </is>
      </c>
      <c r="D135" s="76" t="n">
        <v>2</v>
      </c>
      <c r="E135" s="76" t="n">
        <v>57800</v>
      </c>
      <c r="F135" s="76" t="n">
        <v>57800</v>
      </c>
      <c r="G135" s="76" t="n">
        <v>0</v>
      </c>
      <c r="H135" s="75">
        <f>IF(ISNUMBER(SEARCH("공동구매",C135)),"공구","일반")</f>
        <v/>
      </c>
    </row>
    <row r="136">
      <c r="A136" s="75" t="inlineStr">
        <is>
          <t>로지오가닉</t>
        </is>
      </c>
      <c r="B136" s="79" t="inlineStr">
        <is>
          <t>13795616203</t>
        </is>
      </c>
      <c r="C136" s="75" t="inlineStr">
        <is>
          <t>로지오가닉 유기농 아기쌀과자 공동구매 9차</t>
        </is>
      </c>
      <c r="D136" s="76" t="n">
        <v>2</v>
      </c>
      <c r="E136" s="76" t="n">
        <v>56900</v>
      </c>
      <c r="F136" s="76" t="n">
        <v>56900</v>
      </c>
      <c r="G136" s="76" t="n">
        <v>0</v>
      </c>
      <c r="H136" s="75">
        <f>IF(ISNUMBER(SEARCH("공동구매",C136)),"공구","일반")</f>
        <v/>
      </c>
    </row>
    <row r="137">
      <c r="A137" s="75" t="inlineStr">
        <is>
          <t>로지오가닉</t>
        </is>
      </c>
      <c r="B137" s="79" t="inlineStr">
        <is>
          <t>13062796848</t>
        </is>
      </c>
      <c r="C137" s="75" t="inlineStr">
        <is>
          <t>아넬라 짜먹는 아넬라HOP 사과 1팩 외 과일퓨레 아기간식</t>
        </is>
      </c>
      <c r="D137" s="76" t="n">
        <v>8</v>
      </c>
      <c r="E137" s="76" t="n">
        <v>51000</v>
      </c>
      <c r="F137" s="76" t="n">
        <v>51000</v>
      </c>
      <c r="G137" s="76" t="n">
        <v>0</v>
      </c>
      <c r="H137" s="75">
        <f>IF(ISNUMBER(SEARCH("공동구매",C137)),"공구","일반")</f>
        <v/>
      </c>
    </row>
    <row r="138">
      <c r="A138" s="75" t="inlineStr">
        <is>
          <t>로지오가닉</t>
        </is>
      </c>
      <c r="B138" s="79" t="inlineStr">
        <is>
          <t>13783363803</t>
        </is>
      </c>
      <c r="C138" s="75" t="inlineStr">
        <is>
          <t>아넬라 과일퓨레 공동구매 9차</t>
        </is>
      </c>
      <c r="D138" s="76" t="n">
        <v>1</v>
      </c>
      <c r="E138" s="76" t="n">
        <v>39200</v>
      </c>
      <c r="F138" s="76" t="n">
        <v>39200</v>
      </c>
      <c r="G138" s="76" t="n">
        <v>0</v>
      </c>
      <c r="H138" s="75">
        <f>IF(ISNUMBER(SEARCH("공동구매",C138)),"공구","일반")</f>
        <v/>
      </c>
    </row>
    <row r="139">
      <c r="A139" s="75" t="inlineStr">
        <is>
          <t>로지오가닉</t>
        </is>
      </c>
      <c r="B139" s="79" t="inlineStr">
        <is>
          <t>13780353002</t>
        </is>
      </c>
      <c r="C139" s="75" t="inlineStr">
        <is>
          <t>아넬라 과일퓨레 공동구매 9차</t>
        </is>
      </c>
      <c r="D139" s="76" t="n">
        <v>1</v>
      </c>
      <c r="E139" s="76" t="n">
        <v>38900</v>
      </c>
      <c r="F139" s="76" t="n">
        <v>0</v>
      </c>
      <c r="G139" s="76" t="n">
        <v>38900</v>
      </c>
      <c r="H139" s="75">
        <f>IF(ISNUMBER(SEARCH("공동구매",C139)),"공구","일반")</f>
        <v/>
      </c>
    </row>
    <row r="140">
      <c r="A140" s="75" t="inlineStr">
        <is>
          <t>로지오가닉</t>
        </is>
      </c>
      <c r="B140" s="79" t="inlineStr">
        <is>
          <t>13780357178</t>
        </is>
      </c>
      <c r="C140" s="75" t="inlineStr">
        <is>
          <t>아넬라 과일퓨레 공동구매 9차</t>
        </is>
      </c>
      <c r="D140" s="76" t="n">
        <v>1</v>
      </c>
      <c r="E140" s="76" t="n">
        <v>38900</v>
      </c>
      <c r="F140" s="76" t="n">
        <v>38900</v>
      </c>
      <c r="G140" s="76" t="n">
        <v>0</v>
      </c>
      <c r="H140" s="75">
        <f>IF(ISNUMBER(SEARCH("공동구매",C140)),"공구","일반")</f>
        <v/>
      </c>
    </row>
    <row r="141">
      <c r="A141" s="75" t="inlineStr">
        <is>
          <t>로지오가닉</t>
        </is>
      </c>
      <c r="B141" s="79" t="inlineStr">
        <is>
          <t>13781563589</t>
        </is>
      </c>
      <c r="C141" s="75" t="inlineStr">
        <is>
          <t>아넬라 과일퓨레 공동구매 9차</t>
        </is>
      </c>
      <c r="D141" s="76" t="n">
        <v>1</v>
      </c>
      <c r="E141" s="76" t="n">
        <v>38900</v>
      </c>
      <c r="F141" s="76" t="n">
        <v>38900</v>
      </c>
      <c r="G141" s="76" t="n">
        <v>0</v>
      </c>
      <c r="H141" s="75">
        <f>IF(ISNUMBER(SEARCH("공동구매",C141)),"공구","일반")</f>
        <v/>
      </c>
    </row>
    <row r="142">
      <c r="A142" s="75" t="inlineStr">
        <is>
          <t>로지오가닉</t>
        </is>
      </c>
      <c r="B142" s="79" t="inlineStr">
        <is>
          <t>13784786716</t>
        </is>
      </c>
      <c r="C142" s="75" t="inlineStr">
        <is>
          <t>로지오가닉 처음 마시는 유기농 진한 배도라지즙 아기 보리차 공동구매 3차</t>
        </is>
      </c>
      <c r="D142" s="76" t="n">
        <v>2</v>
      </c>
      <c r="E142" s="76" t="n">
        <v>33800</v>
      </c>
      <c r="F142" s="76" t="n">
        <v>33800</v>
      </c>
      <c r="G142" s="76" t="n">
        <v>0</v>
      </c>
      <c r="H142" s="75">
        <f>IF(ISNUMBER(SEARCH("공동구매",C142)),"공구","일반")</f>
        <v/>
      </c>
    </row>
    <row r="143">
      <c r="A143" s="75" t="inlineStr">
        <is>
          <t>로지오가닉</t>
        </is>
      </c>
      <c r="B143" s="79" t="inlineStr">
        <is>
          <t>13675154898</t>
        </is>
      </c>
      <c r="C143" s="75" t="inlineStr">
        <is>
          <t>로지오가닉 처음 마시는 진한 배도라지즙 20팩 + 유기농 아기 보리차 20팩</t>
        </is>
      </c>
      <c r="D143" s="76" t="n">
        <v>1</v>
      </c>
      <c r="E143" s="76" t="n">
        <v>32900</v>
      </c>
      <c r="F143" s="76" t="n">
        <v>16400</v>
      </c>
      <c r="G143" s="76" t="n">
        <v>16500</v>
      </c>
      <c r="H143" s="75">
        <f>IF(ISNUMBER(SEARCH("공동구매",C143)),"공구","일반")</f>
        <v/>
      </c>
    </row>
    <row r="144">
      <c r="A144" s="75" t="inlineStr">
        <is>
          <t>로지오가닉</t>
        </is>
      </c>
      <c r="B144" s="79" t="inlineStr">
        <is>
          <t>13780366649</t>
        </is>
      </c>
      <c r="C144" s="75" t="inlineStr">
        <is>
          <t>로지오가닉 유기농 아기쌀과자 공동구매 9차</t>
        </is>
      </c>
      <c r="D144" s="76" t="n">
        <v>1</v>
      </c>
      <c r="E144" s="76" t="n">
        <v>29800</v>
      </c>
      <c r="F144" s="76" t="n">
        <v>29800</v>
      </c>
      <c r="G144" s="76" t="n">
        <v>0</v>
      </c>
      <c r="H144" s="75">
        <f>IF(ISNUMBER(SEARCH("공동구매",C144)),"공구","일반")</f>
        <v/>
      </c>
    </row>
    <row r="145">
      <c r="A145" s="75" t="inlineStr">
        <is>
          <t>로지오가닉</t>
        </is>
      </c>
      <c r="B145" s="79" t="inlineStr">
        <is>
          <t>13793820431</t>
        </is>
      </c>
      <c r="C145" s="75" t="inlineStr">
        <is>
          <t>로지오가닉 유기농 아기쌀과자 공동구매 9차</t>
        </is>
      </c>
      <c r="D145" s="76" t="n">
        <v>1</v>
      </c>
      <c r="E145" s="76" t="n">
        <v>29800</v>
      </c>
      <c r="F145" s="76" t="n">
        <v>29800</v>
      </c>
      <c r="G145" s="76" t="n">
        <v>0</v>
      </c>
      <c r="H145" s="75">
        <f>IF(ISNUMBER(SEARCH("공동구매",C145)),"공구","일반")</f>
        <v/>
      </c>
    </row>
    <row r="146">
      <c r="A146" s="75" t="inlineStr">
        <is>
          <t>로지오가닉</t>
        </is>
      </c>
      <c r="B146" s="79" t="inlineStr">
        <is>
          <t>13781738526</t>
        </is>
      </c>
      <c r="C146" s="75" t="inlineStr">
        <is>
          <t>로지오가닉 유기농 아기쌀과자 공동구매 9차</t>
        </is>
      </c>
      <c r="D146" s="76" t="n">
        <v>1</v>
      </c>
      <c r="E146" s="76" t="n">
        <v>29800</v>
      </c>
      <c r="F146" s="76" t="n">
        <v>29800</v>
      </c>
      <c r="G146" s="76" t="n">
        <v>0</v>
      </c>
      <c r="H146" s="75">
        <f>IF(ISNUMBER(SEARCH("공동구매",C146)),"공구","일반")</f>
        <v/>
      </c>
    </row>
    <row r="147">
      <c r="A147" s="75" t="inlineStr">
        <is>
          <t>로지오가닉</t>
        </is>
      </c>
      <c r="B147" s="79" t="inlineStr">
        <is>
          <t>10844222733</t>
        </is>
      </c>
      <c r="C147" s="75" t="inlineStr">
        <is>
          <t>로지오가닉 유기농 쌀과자 스틱 25g 6봉 순수백미</t>
        </is>
      </c>
      <c r="D147" s="76" t="n">
        <v>2</v>
      </c>
      <c r="E147" s="76" t="n">
        <v>29800</v>
      </c>
      <c r="F147" s="76" t="n">
        <v>29800</v>
      </c>
      <c r="G147" s="76" t="n">
        <v>0</v>
      </c>
      <c r="H147" s="75">
        <f>IF(ISNUMBER(SEARCH("공동구매",C147)),"공구","일반")</f>
        <v/>
      </c>
    </row>
    <row r="148">
      <c r="A148" s="75" t="inlineStr">
        <is>
          <t>로지오가닉</t>
        </is>
      </c>
      <c r="B148" s="79" t="inlineStr">
        <is>
          <t>13767019464</t>
        </is>
      </c>
      <c r="C148" s="75" t="inlineStr">
        <is>
          <t>[새벽x로지오가닉] 로지오가닉 유기농 아기쌀과자 공동구매</t>
        </is>
      </c>
      <c r="D148" s="76" t="n">
        <v>1</v>
      </c>
      <c r="E148" s="76" t="n">
        <v>28900</v>
      </c>
      <c r="F148" s="76" t="n">
        <v>28900</v>
      </c>
      <c r="G148" s="76" t="n">
        <v>0</v>
      </c>
      <c r="H148" s="75">
        <f>IF(ISNUMBER(SEARCH("공동구매",C148)),"공구","일반")</f>
        <v/>
      </c>
    </row>
    <row r="149">
      <c r="A149" s="75" t="inlineStr">
        <is>
          <t>로지오가닉</t>
        </is>
      </c>
      <c r="B149" s="79" t="inlineStr">
        <is>
          <t>13793821497</t>
        </is>
      </c>
      <c r="C149" s="75" t="inlineStr">
        <is>
          <t>로지오가닉 유기농 아기쌀과자 공동구매 9차</t>
        </is>
      </c>
      <c r="D149" s="76" t="n">
        <v>1</v>
      </c>
      <c r="E149" s="76" t="n">
        <v>28900</v>
      </c>
      <c r="F149" s="76" t="n">
        <v>28900</v>
      </c>
      <c r="G149" s="76" t="n">
        <v>0</v>
      </c>
      <c r="H149" s="75">
        <f>IF(ISNUMBER(SEARCH("공동구매",C149)),"공구","일반")</f>
        <v/>
      </c>
    </row>
    <row r="150">
      <c r="A150" s="75" t="inlineStr">
        <is>
          <t>로지오가닉</t>
        </is>
      </c>
      <c r="B150" s="79" t="inlineStr">
        <is>
          <t>13780367400</t>
        </is>
      </c>
      <c r="C150" s="75" t="inlineStr">
        <is>
          <t>로지오가닉 유기농 아기쌀과자 공동구매 9차</t>
        </is>
      </c>
      <c r="D150" s="76" t="n">
        <v>1</v>
      </c>
      <c r="E150" s="76" t="n">
        <v>28900</v>
      </c>
      <c r="F150" s="76" t="n">
        <v>28900</v>
      </c>
      <c r="G150" s="76" t="n">
        <v>0</v>
      </c>
      <c r="H150" s="75">
        <f>IF(ISNUMBER(SEARCH("공동구매",C150)),"공구","일반")</f>
        <v/>
      </c>
    </row>
    <row r="151">
      <c r="A151" s="75" t="inlineStr">
        <is>
          <t>로지오가닉</t>
        </is>
      </c>
      <c r="B151" s="79" t="inlineStr">
        <is>
          <t>13783040035</t>
        </is>
      </c>
      <c r="C151" s="75" t="inlineStr">
        <is>
          <t>로지오가닉 유기농 아기쌀과자 공동구매 9차</t>
        </is>
      </c>
      <c r="D151" s="76" t="n">
        <v>1</v>
      </c>
      <c r="E151" s="76" t="n">
        <v>28900</v>
      </c>
      <c r="F151" s="76" t="n">
        <v>28900</v>
      </c>
      <c r="G151" s="76" t="n">
        <v>0</v>
      </c>
      <c r="H151" s="75">
        <f>IF(ISNUMBER(SEARCH("공동구매",C151)),"공구","일반")</f>
        <v/>
      </c>
    </row>
    <row r="152">
      <c r="A152" s="75" t="inlineStr">
        <is>
          <t>로지오가닉</t>
        </is>
      </c>
      <c r="B152" s="79" t="inlineStr">
        <is>
          <t>10844246930</t>
        </is>
      </c>
      <c r="C152" s="75" t="inlineStr">
        <is>
          <t>로지오가닉 유기농 쌀과자 스틱 25g 6봉 사과비트당근</t>
        </is>
      </c>
      <c r="D152" s="76" t="n">
        <v>1</v>
      </c>
      <c r="E152" s="76" t="n">
        <v>14900</v>
      </c>
      <c r="F152" s="76" t="n">
        <v>14900</v>
      </c>
      <c r="G152" s="76" t="n">
        <v>0</v>
      </c>
      <c r="H152" s="75">
        <f>IF(ISNUMBER(SEARCH("공동구매",C152)),"공구","일반")</f>
        <v/>
      </c>
    </row>
    <row r="153">
      <c r="A153" s="75" t="inlineStr">
        <is>
          <t>로지오가닉</t>
        </is>
      </c>
      <c r="B153" s="79" t="inlineStr">
        <is>
          <t>12417337273</t>
        </is>
      </c>
      <c r="C153" s="75" t="inlineStr">
        <is>
          <t>로지오가닉 유기농 쌀과자 퍼프 20g 6봉 배</t>
        </is>
      </c>
      <c r="D153" s="76" t="n">
        <v>1</v>
      </c>
      <c r="E153" s="76" t="n">
        <v>14900</v>
      </c>
      <c r="F153" s="76" t="n">
        <v>14900</v>
      </c>
      <c r="G153" s="76" t="n">
        <v>0</v>
      </c>
      <c r="H153" s="75">
        <f>IF(ISNUMBER(SEARCH("공동구매",C153)),"공구","일반")</f>
        <v/>
      </c>
    </row>
    <row r="154">
      <c r="A154" s="75" t="inlineStr">
        <is>
          <t>로지오가닉</t>
        </is>
      </c>
      <c r="B154" s="79" t="inlineStr">
        <is>
          <t>12417340068</t>
        </is>
      </c>
      <c r="C154" s="75" t="inlineStr">
        <is>
          <t>로지오가닉 유기농 쌀과자 퍼프 20g 6봉 블루베리</t>
        </is>
      </c>
      <c r="D154" s="76" t="n">
        <v>1</v>
      </c>
      <c r="E154" s="76" t="n">
        <v>14900</v>
      </c>
      <c r="F154" s="76" t="n">
        <v>14900</v>
      </c>
      <c r="G154" s="76" t="n">
        <v>0</v>
      </c>
      <c r="H154" s="75">
        <f>IF(ISNUMBER(SEARCH("공동구매",C154)),"공구","일반")</f>
        <v/>
      </c>
    </row>
    <row r="155">
      <c r="A155" s="75" t="inlineStr">
        <is>
          <t>로지오가닉</t>
        </is>
      </c>
      <c r="B155" s="79" t="inlineStr">
        <is>
          <t>12417332424</t>
        </is>
      </c>
      <c r="C155" s="75" t="inlineStr">
        <is>
          <t>로지오가닉 유기농 쌀과자 퍼프 20g 6봉 바나나</t>
        </is>
      </c>
      <c r="D155" s="76" t="n">
        <v>1</v>
      </c>
      <c r="E155" s="76" t="n">
        <v>13900</v>
      </c>
      <c r="F155" s="76" t="n">
        <v>13900</v>
      </c>
      <c r="G155" s="76" t="n">
        <v>0</v>
      </c>
      <c r="H155" s="75">
        <f>IF(ISNUMBER(SEARCH("공동구매",C155)),"공구","일반")</f>
        <v/>
      </c>
    </row>
    <row r="156">
      <c r="A156" s="75" t="inlineStr">
        <is>
          <t>로지오가닉</t>
        </is>
      </c>
      <c r="B156" s="79" t="inlineStr">
        <is>
          <t>13736856616</t>
        </is>
      </c>
      <c r="C156" s="75" t="inlineStr">
        <is>
          <t>로지오가닉 처음 마시는 유기농 진한 배도라지즙 아기 보리차 공동구매 2차</t>
        </is>
      </c>
      <c r="D156" s="76" t="n">
        <v>0</v>
      </c>
      <c r="E156" s="76" t="n">
        <v>0</v>
      </c>
      <c r="F156" s="76" t="n">
        <v>-99600</v>
      </c>
      <c r="G156" s="76" t="n">
        <v>99600</v>
      </c>
      <c r="H156" s="75">
        <f>IF(ISNUMBER(SEARCH("공동구매",C156)),"공구","일반")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A1:I24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5" t="inlineStr">
        <is>
          <t>상품코드</t>
        </is>
      </c>
      <c r="B1" s="5" t="inlineStr">
        <is>
          <t>상품명</t>
        </is>
      </c>
      <c r="C1" s="5" t="inlineStr">
        <is>
          <t>판매가(원)</t>
        </is>
      </c>
      <c r="D1" s="5" t="inlineStr">
        <is>
          <t>결제수량</t>
        </is>
      </c>
      <c r="E1" s="5" t="inlineStr">
        <is>
          <t>환불수량</t>
        </is>
      </c>
      <c r="F1" s="5" t="inlineStr">
        <is>
          <t>판매수량</t>
        </is>
      </c>
      <c r="G1" s="5" t="inlineStr">
        <is>
          <t>판매합계(원)</t>
        </is>
      </c>
      <c r="H1" s="5" t="inlineStr">
        <is>
          <t>브랜드</t>
        </is>
      </c>
      <c r="I1" s="5" t="inlineStr">
        <is>
          <t>구분</t>
        </is>
      </c>
    </row>
    <row r="2">
      <c r="A2" s="75" t="inlineStr">
        <is>
          <t>P00000GM</t>
        </is>
      </c>
      <c r="B2" s="75" t="inlineStr">
        <is>
          <t>[시크릿 특가] 로지오가닉 아기쌀과자 퍼프 스틱 떡뻥 요거팝</t>
        </is>
      </c>
      <c r="C2" s="76" t="n">
        <v>26500</v>
      </c>
      <c r="D2" s="76" t="n">
        <v>323</v>
      </c>
      <c r="E2" s="76" t="n">
        <v>17</v>
      </c>
      <c r="F2" s="76" t="n">
        <v>306</v>
      </c>
      <c r="G2" s="76" t="n">
        <v>6135000</v>
      </c>
      <c r="H2" s="75">
        <f>IF(AND(ISNUMBER(SEARCH("아넬라",B2)),ISNUMBER(SEARCH("로지오가닉",B2))),"공통",IF(ISNUMBER(SEARCH("아넬라",B2)),"아넬라",IF(ISNUMBER(SEARCH("로지오가닉",B2)),"로지오가닉","기타")))</f>
        <v/>
      </c>
      <c r="I2" s="75">
        <f>IF(ISNUMBER(SEARCH("시크릿 특가",B2)),"시크릿특가",IF(ISNUMBER(SEARCH("첫구매 전용",B2)),"첫구매전용","그 외"))</f>
        <v/>
      </c>
    </row>
    <row r="3">
      <c r="A3" s="75" t="inlineStr">
        <is>
          <t>P00000FA</t>
        </is>
      </c>
      <c r="B3" s="75" t="inlineStr">
        <is>
          <t>[첫구매 전용] 로지오가닉 아기간식 골라담기 | 무료배송</t>
        </is>
      </c>
      <c r="C3" s="76" t="n">
        <v>19900</v>
      </c>
      <c r="D3" s="76" t="n">
        <v>209</v>
      </c>
      <c r="E3" s="76" t="n">
        <v>3</v>
      </c>
      <c r="F3" s="76" t="n">
        <v>206</v>
      </c>
      <c r="G3" s="76" t="n">
        <v>2105600</v>
      </c>
      <c r="H3" s="75">
        <f>IF(AND(ISNUMBER(SEARCH("아넬라",B3)),ISNUMBER(SEARCH("로지오가닉",B3))),"공통",IF(ISNUMBER(SEARCH("아넬라",B3)),"아넬라",IF(ISNUMBER(SEARCH("로지오가닉",B3)),"로지오가닉","기타")))</f>
        <v/>
      </c>
      <c r="I3" s="75">
        <f>IF(ISNUMBER(SEARCH("시크릿 특가",B3)),"시크릿특가",IF(ISNUMBER(SEARCH("첫구매 전용",B3)),"첫구매전용","그 외"))</f>
        <v/>
      </c>
    </row>
    <row r="4">
      <c r="A4" s="75" t="inlineStr">
        <is>
          <t>P00000EU</t>
        </is>
      </c>
      <c r="B4" s="75" t="inlineStr">
        <is>
          <t>[시크릿 특가] 아넬라 HOP타입/컵타입 단독 구성</t>
        </is>
      </c>
      <c r="C4" s="76" t="n">
        <v>38900</v>
      </c>
      <c r="D4" s="76" t="n">
        <v>185</v>
      </c>
      <c r="E4" s="76" t="n">
        <v>11</v>
      </c>
      <c r="F4" s="76" t="n">
        <v>174</v>
      </c>
      <c r="G4" s="76" t="n">
        <v>6342600</v>
      </c>
      <c r="H4" s="75">
        <f>IF(AND(ISNUMBER(SEARCH("아넬라",B4)),ISNUMBER(SEARCH("로지오가닉",B4))),"공통",IF(ISNUMBER(SEARCH("아넬라",B4)),"아넬라",IF(ISNUMBER(SEARCH("로지오가닉",B4)),"로지오가닉","기타")))</f>
        <v/>
      </c>
      <c r="I4" s="75">
        <f>IF(ISNUMBER(SEARCH("시크릿 특가",B4)),"시크릿특가",IF(ISNUMBER(SEARCH("첫구매 전용",B4)),"첫구매전용","그 외"))</f>
        <v/>
      </c>
    </row>
    <row r="5">
      <c r="A5" s="75" t="inlineStr">
        <is>
          <t>P00000GL</t>
        </is>
      </c>
      <c r="B5" s="75" t="inlineStr">
        <is>
          <t>아넬라 유기농 아기쌀과자 1봉</t>
        </is>
      </c>
      <c r="C5" s="76" t="n">
        <v>3200</v>
      </c>
      <c r="D5" s="76" t="n">
        <v>37</v>
      </c>
      <c r="E5" s="76" t="n">
        <v>0</v>
      </c>
      <c r="F5" s="76" t="n">
        <v>37</v>
      </c>
      <c r="G5" s="76" t="n">
        <v>76200</v>
      </c>
      <c r="H5" s="75">
        <f>IF(AND(ISNUMBER(SEARCH("아넬라",B5)),ISNUMBER(SEARCH("로지오가닉",B5))),"공통",IF(ISNUMBER(SEARCH("아넬라",B5)),"아넬라",IF(ISNUMBER(SEARCH("로지오가닉",B5)),"로지오가닉","기타")))</f>
        <v/>
      </c>
      <c r="I5" s="75">
        <f>IF(ISNUMBER(SEARCH("시크릿 특가",B5)),"시크릿특가",IF(ISNUMBER(SEARCH("첫구매 전용",B5)),"첫구매전용","그 외"))</f>
        <v/>
      </c>
    </row>
    <row r="6">
      <c r="A6" s="75" t="inlineStr">
        <is>
          <t>P00000ER</t>
        </is>
      </c>
      <c r="B6" s="75" t="inlineStr">
        <is>
          <t>[쌀과자 특가] 로지오가닉 유기농 쌀과자 8봉</t>
        </is>
      </c>
      <c r="C6" s="76" t="n">
        <v>14800</v>
      </c>
      <c r="D6" s="76" t="n">
        <v>25</v>
      </c>
      <c r="E6" s="76" t="n">
        <v>0</v>
      </c>
      <c r="F6" s="76" t="n">
        <v>25</v>
      </c>
      <c r="G6" s="76" t="n">
        <v>339200</v>
      </c>
      <c r="H6" s="75">
        <f>IF(AND(ISNUMBER(SEARCH("아넬라",B6)),ISNUMBER(SEARCH("로지오가닉",B6))),"공통",IF(ISNUMBER(SEARCH("아넬라",B6)),"아넬라",IF(ISNUMBER(SEARCH("로지오가닉",B6)),"로지오가닉","기타")))</f>
        <v/>
      </c>
      <c r="I6" s="75">
        <f>IF(ISNUMBER(SEARCH("시크릿 특가",B6)),"시크릿특가",IF(ISNUMBER(SEARCH("첫구매 전용",B6)),"첫구매전용","그 외"))</f>
        <v/>
      </c>
    </row>
    <row r="7">
      <c r="A7" s="75" t="inlineStr">
        <is>
          <t>P00000EW</t>
        </is>
      </c>
      <c r="B7" s="75" t="inlineStr">
        <is>
          <t>[첫구매 전용] 아넬라 아기첫과일 체험팩 (1팩 무료배송)</t>
        </is>
      </c>
      <c r="C7" s="76" t="n">
        <v>5400</v>
      </c>
      <c r="D7" s="76" t="n">
        <v>21</v>
      </c>
      <c r="E7" s="76" t="n">
        <v>0</v>
      </c>
      <c r="F7" s="76" t="n">
        <v>21</v>
      </c>
      <c r="G7" s="76" t="n">
        <v>105000</v>
      </c>
      <c r="H7" s="75">
        <f>IF(AND(ISNUMBER(SEARCH("아넬라",B7)),ISNUMBER(SEARCH("로지오가닉",B7))),"공통",IF(ISNUMBER(SEARCH("아넬라",B7)),"아넬라",IF(ISNUMBER(SEARCH("로지오가닉",B7)),"로지오가닉","기타")))</f>
        <v/>
      </c>
      <c r="I7" s="75">
        <f>IF(ISNUMBER(SEARCH("시크릿 특가",B7)),"시크릿특가",IF(ISNUMBER(SEARCH("첫구매 전용",B7)),"첫구매전용","그 외"))</f>
        <v/>
      </c>
    </row>
    <row r="8">
      <c r="A8" s="75" t="inlineStr">
        <is>
          <t>P00000GG</t>
        </is>
      </c>
      <c r="B8" s="75" t="inlineStr">
        <is>
          <t>아넬라 지중해 100% 생과일퓨레 8팩 + 1팩 추가증정</t>
        </is>
      </c>
      <c r="C8" s="76" t="n">
        <v>27900</v>
      </c>
      <c r="D8" s="76" t="n">
        <v>18</v>
      </c>
      <c r="E8" s="76" t="n">
        <v>1</v>
      </c>
      <c r="F8" s="76" t="n">
        <v>17</v>
      </c>
      <c r="G8" s="76" t="n">
        <v>448300</v>
      </c>
      <c r="H8" s="75">
        <f>IF(AND(ISNUMBER(SEARCH("아넬라",B8)),ISNUMBER(SEARCH("로지오가닉",B8))),"공통",IF(ISNUMBER(SEARCH("아넬라",B8)),"아넬라",IF(ISNUMBER(SEARCH("로지오가닉",B8)),"로지오가닉","기타")))</f>
        <v/>
      </c>
      <c r="I8" s="75">
        <f>IF(ISNUMBER(SEARCH("시크릿 특가",B8)),"시크릿특가",IF(ISNUMBER(SEARCH("첫구매 전용",B8)),"첫구매전용","그 외"))</f>
        <v/>
      </c>
    </row>
    <row r="9">
      <c r="A9" s="75" t="inlineStr">
        <is>
          <t>P00000FQ</t>
        </is>
      </c>
      <c r="B9" s="75" t="inlineStr">
        <is>
          <t>[원데이 특가] 아넬라 과일퓨레 HOP 15팩+2팩 추가 증정</t>
        </is>
      </c>
      <c r="C9" s="76" t="n">
        <v>38500</v>
      </c>
      <c r="D9" s="76" t="n">
        <v>19</v>
      </c>
      <c r="E9" s="76" t="n">
        <v>2</v>
      </c>
      <c r="F9" s="76" t="n">
        <v>17</v>
      </c>
      <c r="G9" s="76" t="n">
        <v>654500</v>
      </c>
      <c r="H9" s="75">
        <f>IF(AND(ISNUMBER(SEARCH("아넬라",B9)),ISNUMBER(SEARCH("로지오가닉",B9))),"공통",IF(ISNUMBER(SEARCH("아넬라",B9)),"아넬라",IF(ISNUMBER(SEARCH("로지오가닉",B9)),"로지오가닉","기타")))</f>
        <v/>
      </c>
      <c r="I9" s="75">
        <f>IF(ISNUMBER(SEARCH("시크릿 특가",B9)),"시크릿특가",IF(ISNUMBER(SEARCH("첫구매 전용",B9)),"첫구매전용","그 외"))</f>
        <v/>
      </c>
    </row>
    <row r="10">
      <c r="A10" s="75" t="inlineStr">
        <is>
          <t>P00000FP</t>
        </is>
      </c>
      <c r="B10" s="75" t="inlineStr">
        <is>
          <t>[신규회원 한정] 아넬라&amp;로지오가닉 전품목 맛보기팩</t>
        </is>
      </c>
      <c r="C10" s="76" t="n">
        <v>31000</v>
      </c>
      <c r="D10" s="76" t="n">
        <v>11</v>
      </c>
      <c r="E10" s="76" t="n">
        <v>0</v>
      </c>
      <c r="F10" s="76" t="n">
        <v>11</v>
      </c>
      <c r="G10" s="76" t="n">
        <v>341000</v>
      </c>
      <c r="H10" s="75">
        <f>IF(AND(ISNUMBER(SEARCH("아넬라",B10)),ISNUMBER(SEARCH("로지오가닉",B10))),"공통",IF(ISNUMBER(SEARCH("아넬라",B10)),"아넬라",IF(ISNUMBER(SEARCH("로지오가닉",B10)),"로지오가닉","기타")))</f>
        <v/>
      </c>
      <c r="I10" s="75">
        <f>IF(ISNUMBER(SEARCH("시크릿 특가",B10)),"시크릿특가",IF(ISNUMBER(SEARCH("첫구매 전용",B10)),"첫구매전용","그 외"))</f>
        <v/>
      </c>
    </row>
    <row r="11">
      <c r="A11" s="75" t="inlineStr">
        <is>
          <t>P00000ET</t>
        </is>
      </c>
      <c r="B11" s="75" t="inlineStr">
        <is>
          <t>짜먹는 아넬라 HOP 9종 (택1)</t>
        </is>
      </c>
      <c r="C11" s="76" t="n">
        <v>4200</v>
      </c>
      <c r="D11" s="76" t="n">
        <v>10</v>
      </c>
      <c r="E11" s="76" t="n">
        <v>0</v>
      </c>
      <c r="F11" s="76" t="n">
        <v>10</v>
      </c>
      <c r="G11" s="76" t="n">
        <v>42000</v>
      </c>
      <c r="H11" s="75">
        <f>IF(AND(ISNUMBER(SEARCH("아넬라",B11)),ISNUMBER(SEARCH("로지오가닉",B11))),"공통",IF(ISNUMBER(SEARCH("아넬라",B11)),"아넬라",IF(ISNUMBER(SEARCH("로지오가닉",B11)),"로지오가닉","기타")))</f>
        <v/>
      </c>
      <c r="I11" s="75">
        <f>IF(ISNUMBER(SEARCH("시크릿 특가",B11)),"시크릿특가",IF(ISNUMBER(SEARCH("첫구매 전용",B11)),"첫구매전용","그 외"))</f>
        <v/>
      </c>
    </row>
    <row r="12">
      <c r="A12" s="75" t="inlineStr">
        <is>
          <t>P00000CV</t>
        </is>
      </c>
      <c r="B12" s="75" t="inlineStr">
        <is>
          <t>로지오가닉 떡뻥 아기과자 간식 롱뻥 스틱 단호박 외 11종</t>
        </is>
      </c>
      <c r="C12" s="76" t="n">
        <v>3900</v>
      </c>
      <c r="D12" s="76" t="n">
        <v>10</v>
      </c>
      <c r="E12" s="76" t="n">
        <v>0</v>
      </c>
      <c r="F12" s="76" t="n">
        <v>10</v>
      </c>
      <c r="G12" s="76" t="n">
        <v>39000</v>
      </c>
      <c r="H12" s="75">
        <f>IF(AND(ISNUMBER(SEARCH("아넬라",B12)),ISNUMBER(SEARCH("로지오가닉",B12))),"공통",IF(ISNUMBER(SEARCH("아넬라",B12)),"아넬라",IF(ISNUMBER(SEARCH("로지오가닉",B12)),"로지오가닉","기타")))</f>
        <v/>
      </c>
      <c r="I12" s="75">
        <f>IF(ISNUMBER(SEARCH("시크릿 특가",B12)),"시크릿특가",IF(ISNUMBER(SEARCH("첫구매 전용",B12)),"첫구매전용","그 외"))</f>
        <v/>
      </c>
    </row>
    <row r="13">
      <c r="A13" s="75" t="inlineStr">
        <is>
          <t>P00000EK</t>
        </is>
      </c>
      <c r="B13" s="75" t="inlineStr">
        <is>
          <t>아넬라 유기농 아기쌀과자 롱떡뻥&amp;퍼프 1봉</t>
        </is>
      </c>
      <c r="C13" s="76" t="n">
        <v>3700</v>
      </c>
      <c r="D13" s="76" t="n">
        <v>6</v>
      </c>
      <c r="E13" s="76" t="n">
        <v>0</v>
      </c>
      <c r="F13" s="76" t="n">
        <v>6</v>
      </c>
      <c r="G13" s="76" t="n">
        <v>20200</v>
      </c>
      <c r="H13" s="75">
        <f>IF(AND(ISNUMBER(SEARCH("아넬라",B13)),ISNUMBER(SEARCH("로지오가닉",B13))),"공통",IF(ISNUMBER(SEARCH("아넬라",B13)),"아넬라",IF(ISNUMBER(SEARCH("로지오가닉",B13)),"로지오가닉","기타")))</f>
        <v/>
      </c>
      <c r="I13" s="75">
        <f>IF(ISNUMBER(SEARCH("시크릿 특가",B13)),"시크릿특가",IF(ISNUMBER(SEARCH("첫구매 전용",B13)),"첫구매전용","그 외"))</f>
        <v/>
      </c>
    </row>
    <row r="14">
      <c r="A14" s="75" t="inlineStr">
        <is>
          <t>P00000HI</t>
        </is>
      </c>
      <c r="B14" s="75" t="inlineStr">
        <is>
          <t>[간식 특가] 로지오가닉 무설탕 젤리 3박스 / 진한 배도라지즙 주스 1박스(30팩)</t>
        </is>
      </c>
      <c r="C14" s="76" t="n">
        <v>41900</v>
      </c>
      <c r="D14" s="76" t="n">
        <v>5</v>
      </c>
      <c r="E14" s="76" t="n">
        <v>0</v>
      </c>
      <c r="F14" s="76" t="n">
        <v>5</v>
      </c>
      <c r="G14" s="76" t="n">
        <v>167500</v>
      </c>
      <c r="H14" s="75">
        <f>IF(AND(ISNUMBER(SEARCH("아넬라",B14)),ISNUMBER(SEARCH("로지오가닉",B14))),"공통",IF(ISNUMBER(SEARCH("아넬라",B14)),"아넬라",IF(ISNUMBER(SEARCH("로지오가닉",B14)),"로지오가닉","기타")))</f>
        <v/>
      </c>
      <c r="I14" s="75">
        <f>IF(ISNUMBER(SEARCH("시크릿 특가",B14)),"시크릿특가",IF(ISNUMBER(SEARCH("첫구매 전용",B14)),"첫구매전용","그 외"))</f>
        <v/>
      </c>
    </row>
    <row r="15">
      <c r="A15" s="75" t="inlineStr">
        <is>
          <t>P00000GI</t>
        </is>
      </c>
      <c r="B15" s="75" t="inlineStr">
        <is>
          <t>로지오가닉 처음 마시는 유기농 아기 보리차 10팩</t>
        </is>
      </c>
      <c r="C15" s="76" t="n">
        <v>9900</v>
      </c>
      <c r="D15" s="76" t="n">
        <v>5</v>
      </c>
      <c r="E15" s="76" t="n">
        <v>0</v>
      </c>
      <c r="F15" s="76" t="n">
        <v>5</v>
      </c>
      <c r="G15" s="76" t="n">
        <v>49500</v>
      </c>
      <c r="H15" s="75">
        <f>IF(AND(ISNUMBER(SEARCH("아넬라",B15)),ISNUMBER(SEARCH("로지오가닉",B15))),"공통",IF(ISNUMBER(SEARCH("아넬라",B15)),"아넬라",IF(ISNUMBER(SEARCH("로지오가닉",B15)),"로지오가닉","기타")))</f>
        <v/>
      </c>
      <c r="I15" s="75">
        <f>IF(ISNUMBER(SEARCH("시크릿 특가",B15)),"시크릿특가",IF(ISNUMBER(SEARCH("첫구매 전용",B15)),"첫구매전용","그 외"))</f>
        <v/>
      </c>
    </row>
    <row r="16">
      <c r="A16" s="75" t="inlineStr">
        <is>
          <t>P00000GH</t>
        </is>
      </c>
      <c r="B16" s="75" t="inlineStr">
        <is>
          <t>로지오가닉 처음 마시는 진한 배도라지즙 10팩</t>
        </is>
      </c>
      <c r="C16" s="76" t="n">
        <v>14900</v>
      </c>
      <c r="D16" s="76" t="n">
        <v>5</v>
      </c>
      <c r="E16" s="76" t="n">
        <v>1</v>
      </c>
      <c r="F16" s="76" t="n">
        <v>4</v>
      </c>
      <c r="G16" s="76" t="n">
        <v>59600</v>
      </c>
      <c r="H16" s="75">
        <f>IF(AND(ISNUMBER(SEARCH("아넬라",B16)),ISNUMBER(SEARCH("로지오가닉",B16))),"공통",IF(ISNUMBER(SEARCH("아넬라",B16)),"아넬라",IF(ISNUMBER(SEARCH("로지오가닉",B16)),"로지오가닉","기타")))</f>
        <v/>
      </c>
      <c r="I16" s="75">
        <f>IF(ISNUMBER(SEARCH("시크릿 특가",B16)),"시크릿특가",IF(ISNUMBER(SEARCH("첫구매 전용",B16)),"첫구매전용","그 외"))</f>
        <v/>
      </c>
    </row>
    <row r="17">
      <c r="A17" s="75" t="inlineStr">
        <is>
          <t>P00000FW</t>
        </is>
      </c>
      <c r="B17" s="75" t="inlineStr">
        <is>
          <t>아넬라 과일퓨레 HOP 16팩 / 컵 15팩 (+쌀과자 2봉 추가증정)</t>
        </is>
      </c>
      <c r="C17" s="76" t="n">
        <v>64900</v>
      </c>
      <c r="D17" s="76" t="n">
        <v>4</v>
      </c>
      <c r="E17" s="76" t="n">
        <v>1</v>
      </c>
      <c r="F17" s="76" t="n">
        <v>3</v>
      </c>
      <c r="G17" s="76" t="n">
        <v>172700</v>
      </c>
      <c r="H17" s="75">
        <f>IF(AND(ISNUMBER(SEARCH("아넬라",B17)),ISNUMBER(SEARCH("로지오가닉",B17))),"공통",IF(ISNUMBER(SEARCH("아넬라",B17)),"아넬라",IF(ISNUMBER(SEARCH("로지오가닉",B17)),"로지오가닉","기타")))</f>
        <v/>
      </c>
      <c r="I17" s="75">
        <f>IF(ISNUMBER(SEARCH("시크릿 특가",B17)),"시크릿특가",IF(ISNUMBER(SEARCH("첫구매 전용",B17)),"첫구매전용","그 외"))</f>
        <v/>
      </c>
    </row>
    <row r="18">
      <c r="A18" s="75" t="inlineStr">
        <is>
          <t>P00000GB</t>
        </is>
      </c>
      <c r="B18" s="75" t="inlineStr">
        <is>
          <t>로지오가닉 떡뻥 10봉</t>
        </is>
      </c>
      <c r="C18" s="76" t="n">
        <v>29900</v>
      </c>
      <c r="D18" s="76" t="n">
        <v>2</v>
      </c>
      <c r="E18" s="76" t="n">
        <v>0</v>
      </c>
      <c r="F18" s="76" t="n">
        <v>2</v>
      </c>
      <c r="G18" s="76" t="n">
        <v>59800</v>
      </c>
      <c r="H18" s="75">
        <f>IF(AND(ISNUMBER(SEARCH("아넬라",B18)),ISNUMBER(SEARCH("로지오가닉",B18))),"공통",IF(ISNUMBER(SEARCH("아넬라",B18)),"아넬라",IF(ISNUMBER(SEARCH("로지오가닉",B18)),"로지오가닉","기타")))</f>
        <v/>
      </c>
      <c r="I18" s="75">
        <f>IF(ISNUMBER(SEARCH("시크릿 특가",B18)),"시크릿특가",IF(ISNUMBER(SEARCH("첫구매 전용",B18)),"첫구매전용","그 외"))</f>
        <v/>
      </c>
    </row>
    <row r="19">
      <c r="A19" s="75" t="inlineStr">
        <is>
          <t>P00000FZ</t>
        </is>
      </c>
      <c r="B19" s="75" t="inlineStr">
        <is>
          <t>로지오가닉 퍼프 10봉</t>
        </is>
      </c>
      <c r="C19" s="76" t="n">
        <v>27900</v>
      </c>
      <c r="D19" s="76" t="n">
        <v>3</v>
      </c>
      <c r="E19" s="76" t="n">
        <v>1</v>
      </c>
      <c r="F19" s="76" t="n">
        <v>2</v>
      </c>
      <c r="G19" s="76" t="n">
        <v>55800</v>
      </c>
      <c r="H19" s="75">
        <f>IF(AND(ISNUMBER(SEARCH("아넬라",B19)),ISNUMBER(SEARCH("로지오가닉",B19))),"공통",IF(ISNUMBER(SEARCH("아넬라",B19)),"아넬라",IF(ISNUMBER(SEARCH("로지오가닉",B19)),"로지오가닉","기타")))</f>
        <v/>
      </c>
      <c r="I19" s="75">
        <f>IF(ISNUMBER(SEARCH("시크릿 특가",B19)),"시크릿특가",IF(ISNUMBER(SEARCH("첫구매 전용",B19)),"첫구매전용","그 외"))</f>
        <v/>
      </c>
    </row>
    <row r="20">
      <c r="A20" s="75" t="inlineStr">
        <is>
          <t>P00000FV</t>
        </is>
      </c>
      <c r="B20" s="75" t="inlineStr">
        <is>
          <t>로지오가닉 유산균 아기간식 요거트 로지팝 3봉</t>
        </is>
      </c>
      <c r="C20" s="76" t="n">
        <v>9900</v>
      </c>
      <c r="D20" s="76" t="n">
        <v>2</v>
      </c>
      <c r="E20" s="76" t="n">
        <v>0</v>
      </c>
      <c r="F20" s="76" t="n">
        <v>2</v>
      </c>
      <c r="G20" s="76" t="n">
        <v>19800</v>
      </c>
      <c r="H20" s="75">
        <f>IF(AND(ISNUMBER(SEARCH("아넬라",B20)),ISNUMBER(SEARCH("로지오가닉",B20))),"공통",IF(ISNUMBER(SEARCH("아넬라",B20)),"아넬라",IF(ISNUMBER(SEARCH("로지오가닉",B20)),"로지오가닉","기타")))</f>
        <v/>
      </c>
      <c r="I20" s="75">
        <f>IF(ISNUMBER(SEARCH("시크릿 특가",B20)),"시크릿특가",IF(ISNUMBER(SEARCH("첫구매 전용",B20)),"첫구매전용","그 외"))</f>
        <v/>
      </c>
    </row>
    <row r="21">
      <c r="A21" s="75" t="inlineStr">
        <is>
          <t>P00000EM</t>
        </is>
      </c>
      <c r="B21" s="75" t="inlineStr">
        <is>
          <t>아넬라 유기농 쌀과자 8봉</t>
        </is>
      </c>
      <c r="C21" s="76" t="n">
        <v>26400</v>
      </c>
      <c r="D21" s="76" t="n">
        <v>2</v>
      </c>
      <c r="E21" s="76" t="n">
        <v>0</v>
      </c>
      <c r="F21" s="76" t="n">
        <v>2</v>
      </c>
      <c r="G21" s="76" t="n">
        <v>52800</v>
      </c>
      <c r="H21" s="75">
        <f>IF(AND(ISNUMBER(SEARCH("아넬라",B21)),ISNUMBER(SEARCH("로지오가닉",B21))),"공통",IF(ISNUMBER(SEARCH("아넬라",B21)),"아넬라",IF(ISNUMBER(SEARCH("로지오가닉",B21)),"로지오가닉","기타")))</f>
        <v/>
      </c>
      <c r="I21" s="75">
        <f>IF(ISNUMBER(SEARCH("시크릿 특가",B21)),"시크릿특가",IF(ISNUMBER(SEARCH("첫구매 전용",B21)),"첫구매전용","그 외"))</f>
        <v/>
      </c>
    </row>
    <row r="22">
      <c r="A22" s="75" t="inlineStr">
        <is>
          <t>P00000GA</t>
        </is>
      </c>
      <c r="B22" s="75" t="inlineStr">
        <is>
          <t>로지오가닉 스틱 10봉</t>
        </is>
      </c>
      <c r="C22" s="76" t="n">
        <v>27900</v>
      </c>
      <c r="D22" s="76" t="n">
        <v>1</v>
      </c>
      <c r="E22" s="76" t="n">
        <v>0</v>
      </c>
      <c r="F22" s="76" t="n">
        <v>1</v>
      </c>
      <c r="G22" s="76" t="n">
        <v>27900</v>
      </c>
      <c r="H22" s="75">
        <f>IF(AND(ISNUMBER(SEARCH("아넬라",B22)),ISNUMBER(SEARCH("로지오가닉",B22))),"공통",IF(ISNUMBER(SEARCH("아넬라",B22)),"아넬라",IF(ISNUMBER(SEARCH("로지오가닉",B22)),"로지오가닉","기타")))</f>
        <v/>
      </c>
      <c r="I22" s="75">
        <f>IF(ISNUMBER(SEARCH("시크릿 특가",B22)),"시크릿특가",IF(ISNUMBER(SEARCH("첫구매 전용",B22)),"첫구매전용","그 외"))</f>
        <v/>
      </c>
    </row>
    <row r="23">
      <c r="A23" s="75" t="inlineStr">
        <is>
          <t>P00000EL</t>
        </is>
      </c>
      <c r="B23" s="75" t="inlineStr">
        <is>
          <t>아넬라 과일퓨레 생푸룬 단기케어 4팩</t>
        </is>
      </c>
      <c r="C23" s="76" t="n">
        <v>31900</v>
      </c>
      <c r="D23" s="76" t="n">
        <v>1</v>
      </c>
      <c r="E23" s="76" t="n">
        <v>0</v>
      </c>
      <c r="F23" s="76" t="n">
        <v>1</v>
      </c>
      <c r="G23" s="76" t="n">
        <v>31900</v>
      </c>
      <c r="H23" s="75">
        <f>IF(AND(ISNUMBER(SEARCH("아넬라",B23)),ISNUMBER(SEARCH("로지오가닉",B23))),"공통",IF(ISNUMBER(SEARCH("아넬라",B23)),"아넬라",IF(ISNUMBER(SEARCH("로지오가닉",B23)),"로지오가닉","기타")))</f>
        <v/>
      </c>
      <c r="I23" s="75">
        <f>IF(ISNUMBER(SEARCH("시크릿 특가",B23)),"시크릿특가",IF(ISNUMBER(SEARCH("첫구매 전용",B23)),"첫구매전용","그 외"))</f>
        <v/>
      </c>
    </row>
    <row r="24">
      <c r="A24" s="75" t="inlineStr">
        <is>
          <t>P00000CR</t>
        </is>
      </c>
      <c r="B24" s="75" t="inlineStr">
        <is>
          <t>로지오가닉 처음마시는 순한 배도라지차 1봉</t>
        </is>
      </c>
      <c r="C24" s="76" t="n">
        <v>12900</v>
      </c>
      <c r="D24" s="76" t="n">
        <v>1</v>
      </c>
      <c r="E24" s="76" t="n">
        <v>1</v>
      </c>
      <c r="F24" s="76" t="n">
        <v>0</v>
      </c>
      <c r="G24" s="76" t="n">
        <v>0</v>
      </c>
      <c r="H24" s="75">
        <f>IF(AND(ISNUMBER(SEARCH("아넬라",B24)),ISNUMBER(SEARCH("로지오가닉",B24))),"공통",IF(ISNUMBER(SEARCH("아넬라",B24)),"아넬라",IF(ISNUMBER(SEARCH("로지오가닉",B24)),"로지오가닉","기타")))</f>
        <v/>
      </c>
      <c r="I24" s="75">
        <f>IF(ISNUMBER(SEARCH("시크릿 특가",B24)),"시크릿특가",IF(ISNUMBER(SEARCH("첫구매 전용",B24)),"첫구매전용","그 외"))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2026-10-29T09:38:17Z</dcterms:created>
  <dcterms:modified xmlns:dcterms="http://purl.org/dc/terms/" xmlns:xsi="http://www.w3.org/2001/XMLSchema-instance" xsi:type="dcterms:W3CDTF">2026-10-29T09:38:18Z</dcterms:modified>
</cp:coreProperties>
</file>